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Estimate" sheetId="2" state="visible" r:id="rId2"/>
    <sheet xmlns:r="http://schemas.openxmlformats.org/officeDocument/2006/relationships" name="Terms" sheetId="3" state="visible" r:id="rId3"/>
  </sheets>
  <definedNames>
    <definedName name="BusinessName">'Estimate'!$D$13</definedName>
    <definedName name="CustomerName">'Estimate'!$D$18</definedName>
    <definedName name="EstimateNo">'Estimate'!$J$13</definedName>
    <definedName name="EstimateDate">'Estimate'!$J$14</definedName>
    <definedName name="ValidDays">'Estimate'!$J$15</definedName>
    <definedName name="DiscountRate">'Estimate'!$J$18</definedName>
    <definedName name="TaxRate">'Estimate'!$J$19</definedName>
    <definedName name="DepositRate">'Estimate'!$J$20</definedName>
    <definedName name="PaymentTerms">'Estimate'!$D$40</definedName>
    <definedName name="_xlnm.Print_Area" localSheetId="0">'Start Here'!$A$1:$G$45</definedName>
    <definedName name="_xlnm.Print_Area" localSheetId="1">'Estimate'!$A$1:$L$47</definedName>
    <definedName name="_xlnm.Print_Area" localSheetId="2">'Terms'!$A$1:$G$28</definedName>
  </definedNames>
  <calcPr calcId="124519" fullCalcOnLoad="1"/>
</workbook>
</file>

<file path=xl/styles.xml><?xml version="1.0" encoding="utf-8"?>
<styleSheet xmlns="http://schemas.openxmlformats.org/spreadsheetml/2006/main">
  <numFmts count="5">
    <numFmt numFmtId="164" formatCode="yyyy-mm-dd h:mm:ss"/>
    <numFmt numFmtId="165" formatCode="mmm d, yyyy"/>
    <numFmt numFmtId="166" formatCode="0.0#%"/>
    <numFmt numFmtId="167" formatCode="&quot;$&quot;#,##0.00;-&quot;$&quot;#,##0.00"/>
    <numFmt numFmtId="168" formatCode="&quot;Date &quot;mmm d, yyyy"/>
  </numFmts>
  <fonts count="23">
    <font>
      <name val="Arial"/>
      <sz val="10"/>
    </font>
    <font>
      <name val="Arial"/>
      <b val="1"/>
      <color rgb="001D2433"/>
      <sz val="20"/>
    </font>
    <font>
      <name val="Arial"/>
      <b val="1"/>
      <color rgb="007B818D"/>
      <sz val="9"/>
    </font>
    <font>
      <name val="Arial"/>
      <color rgb="004A5163"/>
      <sz val="10"/>
    </font>
    <font>
      <name val="Arial"/>
      <color rgb="007B818D"/>
      <sz val="9"/>
    </font>
    <font>
      <name val="Arial"/>
      <b val="1"/>
      <color rgb="007B818D"/>
      <sz val="8"/>
    </font>
    <font>
      <name val="Arial"/>
      <color rgb="001D2433"/>
      <sz val="10"/>
    </font>
    <font>
      <name val="Arial"/>
      <color rgb="001F4E9E"/>
      <sz val="10"/>
    </font>
    <font>
      <name val="Arial"/>
      <b val="1"/>
      <color rgb="001F4E9E"/>
      <sz val="10"/>
    </font>
    <font>
      <name val="Arial"/>
      <b val="1"/>
      <color rgb="001D2433"/>
      <sz val="12"/>
    </font>
    <font>
      <name val="Arial"/>
      <b val="1"/>
      <color rgb="001D2433"/>
      <sz val="10"/>
    </font>
    <font>
      <name val="Arial"/>
      <color rgb="004A5163"/>
      <sz val="9"/>
    </font>
    <font>
      <name val="Arial"/>
      <color rgb="004A5163"/>
      <sz val="8"/>
    </font>
    <font>
      <name val="Arial"/>
      <b val="1"/>
      <color rgb="004A5163"/>
      <sz val="10"/>
    </font>
    <font>
      <name val="Arial"/>
      <b val="1"/>
      <color rgb="00B9C0CE"/>
      <sz val="8"/>
    </font>
    <font>
      <name val="Arial"/>
      <b val="1"/>
      <color rgb="00FFFFFF"/>
      <sz val="28"/>
    </font>
    <font>
      <name val="Arial"/>
      <color rgb="00B9C0CE"/>
      <sz val="9"/>
    </font>
    <font>
      <name val="Arial"/>
      <b val="1"/>
      <color rgb="001D2433"/>
      <sz val="18"/>
    </font>
    <font>
      <name val="Arial"/>
      <b val="1"/>
      <color rgb="00C8502F"/>
      <sz val="18"/>
    </font>
    <font>
      <name val="Arial"/>
      <b val="1"/>
      <color rgb="001F4E9E"/>
      <sz val="9"/>
    </font>
    <font>
      <name val="Arial"/>
      <color rgb="001D2433"/>
      <sz val="9"/>
    </font>
    <font>
      <name val="Arial"/>
      <b val="1"/>
      <color rgb="00FFFFFF"/>
      <sz val="9"/>
    </font>
    <font>
      <name val="Arial"/>
      <color rgb="002F5F9E"/>
      <sz val="10"/>
      <u val="single"/>
    </font>
  </fonts>
  <fills count="8">
    <fill>
      <patternFill/>
    </fill>
    <fill>
      <patternFill patternType="gray125"/>
    </fill>
    <fill>
      <patternFill patternType="solid">
        <fgColor rgb="00FFF4CC"/>
      </patternFill>
    </fill>
    <fill>
      <patternFill patternType="solid">
        <fgColor rgb="00FFF6D6"/>
      </patternFill>
    </fill>
    <fill>
      <patternFill patternType="solid">
        <fgColor rgb="00FFFFFF"/>
      </patternFill>
    </fill>
    <fill>
      <patternFill patternType="solid">
        <fgColor rgb="00F6F3EE"/>
      </patternFill>
    </fill>
    <fill>
      <patternFill patternType="solid">
        <fgColor rgb="001D2433"/>
      </patternFill>
    </fill>
    <fill>
      <patternFill patternType="solid">
        <fgColor rgb="00F3F1EC"/>
      </patternFill>
    </fill>
  </fills>
  <borders count="25">
    <border>
      <left/>
      <right/>
      <top/>
      <bottom/>
      <diagonal/>
    </border>
    <border>
      <bottom style="thin">
        <color rgb="00EFEBE4"/>
      </bottom>
    </border>
    <border>
      <left style="thin">
        <color rgb="00D9D2C3"/>
      </left>
      <right style="thin">
        <color rgb="00D9D2C3"/>
      </right>
      <top style="thin">
        <color rgb="00D9D2C3"/>
      </top>
      <bottom style="thin">
        <color rgb="00D9D2C3"/>
      </bottom>
    </border>
    <border>
      <left style="thin">
        <color rgb="00E3C978"/>
      </left>
      <right style="thin">
        <color rgb="00E3C978"/>
      </right>
      <top style="thin">
        <color rgb="00E3C978"/>
      </top>
      <bottom style="thin">
        <color rgb="00E3C978"/>
      </bottom>
    </border>
    <border>
      <left style="thin">
        <color rgb="00E2DDD3"/>
      </left>
      <right/>
      <top style="thin">
        <color rgb="00E2DDD3"/>
      </top>
      <bottom/>
    </border>
    <border>
      <left/>
      <right/>
      <top style="thin">
        <color rgb="00E2DDD3"/>
      </top>
      <bottom/>
    </border>
    <border>
      <left/>
      <right style="thin">
        <color rgb="00E2DDD3"/>
      </right>
      <top style="thin">
        <color rgb="00E2DDD3"/>
      </top>
      <bottom/>
    </border>
    <border>
      <left style="thin">
        <color rgb="00E2DDD3"/>
      </left>
      <right/>
      <top/>
      <bottom/>
    </border>
    <border>
      <left/>
      <right style="thin">
        <color rgb="00E2DDD3"/>
      </right>
      <top/>
      <bottom/>
    </border>
    <border>
      <left/>
      <right/>
      <top/>
      <bottom/>
    </border>
    <border>
      <left style="thin">
        <color rgb="00E2DDD3"/>
      </left>
      <right/>
      <top/>
      <bottom style="thin">
        <color rgb="00E2DDD3"/>
      </bottom>
    </border>
    <border>
      <left/>
      <right/>
      <top/>
      <bottom style="thin">
        <color rgb="00E2DDD3"/>
      </bottom>
    </border>
    <border>
      <left/>
      <right style="thin">
        <color rgb="00E2DDD3"/>
      </right>
      <top/>
      <bottom style="thin">
        <color rgb="00E2DDD3"/>
      </bottom>
    </border>
    <border>
      <top/>
      <bottom style="thin">
        <color rgb="00EFEBE4"/>
      </bottom>
    </border>
    <border>
      <bottom style="thin">
        <color rgb="001D2433"/>
      </bottom>
    </border>
    <border>
      <right style="thin">
        <color rgb="00FFFFFF"/>
      </right>
      <bottom style="thin">
        <color rgb="00FFFFFF"/>
      </bottom>
    </border>
    <border>
      <top style="thin">
        <color rgb="001D2433"/>
      </top>
      <bottom/>
    </border>
    <border>
      <left style="thin">
        <color rgb="001D2433"/>
      </left>
      <right/>
      <top style="thin">
        <color rgb="001D2433"/>
      </top>
      <bottom/>
    </border>
    <border>
      <left/>
      <right/>
      <top style="thin">
        <color rgb="001D2433"/>
      </top>
      <bottom/>
    </border>
    <border>
      <left/>
      <right style="thin">
        <color rgb="001D2433"/>
      </right>
      <top style="thin">
        <color rgb="001D2433"/>
      </top>
      <bottom/>
    </border>
    <border>
      <left style="thin">
        <color rgb="001D2433"/>
      </left>
      <right/>
      <top/>
      <bottom/>
    </border>
    <border>
      <left/>
      <right style="thin">
        <color rgb="001D2433"/>
      </right>
      <top/>
      <bottom/>
    </border>
    <border>
      <left style="thin">
        <color rgb="001D2433"/>
      </left>
      <right/>
      <top/>
      <bottom style="thin">
        <color rgb="001D2433"/>
      </bottom>
    </border>
    <border>
      <left/>
      <right/>
      <top/>
      <bottom style="thin">
        <color rgb="001D2433"/>
      </bottom>
    </border>
    <border>
      <left/>
      <right style="thin">
        <color rgb="001D2433"/>
      </right>
      <top/>
      <bottom style="thin">
        <color rgb="001D2433"/>
      </bottom>
    </border>
  </borders>
  <cellStyleXfs count="1">
    <xf numFmtId="0" fontId="0" fillId="0" borderId="0"/>
  </cellStyleXfs>
  <cellXfs count="71">
    <xf numFmtId="0" fontId="0" fillId="0" borderId="0" pivotButton="0" quotePrefix="0" xfId="0"/>
    <xf numFmtId="0" fontId="0" fillId="7" borderId="0" pivotButton="0" quotePrefix="0" xfId="0"/>
    <xf numFmtId="0" fontId="1" fillId="7" borderId="0" applyAlignment="1" pivotButton="0" quotePrefix="0" xfId="0">
      <alignment vertical="center"/>
    </xf>
    <xf numFmtId="0" fontId="2" fillId="7" borderId="0" applyAlignment="1" pivotButton="0" quotePrefix="0" xfId="0">
      <alignment horizontal="right" vertical="center"/>
    </xf>
    <xf numFmtId="0" fontId="0" fillId="7" borderId="0" applyAlignment="1" pivotButton="0" quotePrefix="0" xfId="0">
      <alignment vertical="center"/>
    </xf>
    <xf numFmtId="0" fontId="3" fillId="7" borderId="0" applyAlignment="1" pivotButton="0" quotePrefix="0" xfId="0">
      <alignment vertical="center"/>
    </xf>
    <xf numFmtId="0" fontId="4" fillId="7" borderId="0" applyAlignment="1" pivotButton="0" quotePrefix="0" xfId="0">
      <alignment horizontal="right" vertical="center"/>
    </xf>
    <xf numFmtId="0" fontId="0" fillId="4" borderId="4" pivotButton="0" quotePrefix="0" xfId="0"/>
    <xf numFmtId="0" fontId="0" fillId="4" borderId="5" pivotButton="0" quotePrefix="0" xfId="0"/>
    <xf numFmtId="0" fontId="0" fillId="4" borderId="6" pivotButton="0" quotePrefix="0" xfId="0"/>
    <xf numFmtId="0" fontId="0" fillId="4" borderId="7" pivotButton="0" quotePrefix="0" xfId="0"/>
    <xf numFmtId="0" fontId="9" fillId="4" borderId="9" pivotButton="0" quotePrefix="0" xfId="0"/>
    <xf numFmtId="0" fontId="0" fillId="4" borderId="9" pivotButton="0" quotePrefix="0" xfId="0"/>
    <xf numFmtId="0" fontId="0" fillId="4" borderId="8" pivotButton="0" quotePrefix="0" xfId="0"/>
    <xf numFmtId="0" fontId="6" fillId="4" borderId="9" applyAlignment="1" pivotButton="0" quotePrefix="0" xfId="0">
      <alignment vertical="center" wrapText="1"/>
    </xf>
    <xf numFmtId="0" fontId="0" fillId="4" borderId="10" pivotButton="0" quotePrefix="0" xfId="0"/>
    <xf numFmtId="0" fontId="0" fillId="4" borderId="11" pivotButton="0" quotePrefix="0" xfId="0"/>
    <xf numFmtId="0" fontId="0" fillId="4" borderId="12" pivotButton="0" quotePrefix="0" xfId="0"/>
    <xf numFmtId="0" fontId="18" fillId="4" borderId="9" applyAlignment="1" pivotButton="0" quotePrefix="0" xfId="0">
      <alignment horizontal="center" vertical="center"/>
    </xf>
    <xf numFmtId="167" fontId="19" fillId="3" borderId="3" applyAlignment="1" pivotButton="0" quotePrefix="0" xfId="0">
      <alignment horizontal="center" vertical="center"/>
    </xf>
    <xf numFmtId="167" fontId="20" fillId="4" borderId="1" applyAlignment="1" pivotButton="0" quotePrefix="0" xfId="0">
      <alignment horizontal="center" vertical="center"/>
    </xf>
    <xf numFmtId="167" fontId="21" fillId="6" borderId="9" applyAlignment="1" pivotButton="0" quotePrefix="0" xfId="0">
      <alignment horizontal="center" vertical="center"/>
    </xf>
    <xf numFmtId="0" fontId="4" fillId="4" borderId="9" applyAlignment="1" pivotButton="0" quotePrefix="0" xfId="0">
      <alignment vertical="center" wrapText="1"/>
    </xf>
    <xf numFmtId="0" fontId="13" fillId="7" borderId="0" applyAlignment="1" pivotButton="0" quotePrefix="0" xfId="0">
      <alignment horizontal="right" vertical="center"/>
    </xf>
    <xf numFmtId="168" fontId="4" fillId="7" borderId="0" applyAlignment="1" pivotButton="0" quotePrefix="0" xfId="0">
      <alignment horizontal="right" vertical="center"/>
    </xf>
    <xf numFmtId="0" fontId="0" fillId="6" borderId="17" pivotButton="0" quotePrefix="0" xfId="0"/>
    <xf numFmtId="0" fontId="14" fillId="6" borderId="18" applyAlignment="1" pivotButton="0" quotePrefix="0" xfId="0">
      <alignment vertical="bottom"/>
    </xf>
    <xf numFmtId="0" fontId="0" fillId="6" borderId="18" pivotButton="0" quotePrefix="0" xfId="0"/>
    <xf numFmtId="0" fontId="0" fillId="6" borderId="19" pivotButton="0" quotePrefix="0" xfId="0"/>
    <xf numFmtId="0" fontId="5" fillId="4" borderId="5" applyAlignment="1" pivotButton="0" quotePrefix="0" xfId="0">
      <alignment vertical="bottom"/>
    </xf>
    <xf numFmtId="0" fontId="0" fillId="6" borderId="20" pivotButton="0" quotePrefix="0" xfId="0"/>
    <xf numFmtId="167" fontId="15" fillId="6" borderId="9" applyAlignment="1" pivotButton="0" quotePrefix="0" xfId="0">
      <alignment horizontal="left" vertical="center"/>
    </xf>
    <xf numFmtId="0" fontId="0" fillId="6" borderId="9" pivotButton="0" quotePrefix="0" xfId="0"/>
    <xf numFmtId="0" fontId="0" fillId="6" borderId="21" pivotButton="0" quotePrefix="0" xfId="0"/>
    <xf numFmtId="49" fontId="17" fillId="4" borderId="9" applyAlignment="1" pivotButton="0" quotePrefix="0" xfId="0">
      <alignment horizontal="left" vertical="center"/>
    </xf>
    <xf numFmtId="0" fontId="16" fillId="6" borderId="9" applyAlignment="1" pivotButton="0" quotePrefix="0" xfId="0">
      <alignment vertical="top"/>
    </xf>
    <xf numFmtId="0" fontId="11" fillId="4" borderId="9" applyAlignment="1" pivotButton="0" quotePrefix="0" xfId="0">
      <alignment vertical="top"/>
    </xf>
    <xf numFmtId="0" fontId="0" fillId="6" borderId="22" pivotButton="0" quotePrefix="0" xfId="0"/>
    <xf numFmtId="0" fontId="0" fillId="6" borderId="23" pivotButton="0" quotePrefix="0" xfId="0"/>
    <xf numFmtId="0" fontId="0" fillId="6" borderId="24" pivotButton="0" quotePrefix="0" xfId="0"/>
    <xf numFmtId="0" fontId="5" fillId="4" borderId="1" applyAlignment="1" pivotButton="0" quotePrefix="0" xfId="0">
      <alignment vertical="bottom"/>
    </xf>
    <xf numFmtId="0" fontId="0" fillId="4" borderId="1" pivotButton="0" quotePrefix="0" xfId="0"/>
    <xf numFmtId="0" fontId="6" fillId="4" borderId="9" applyAlignment="1" pivotButton="0" quotePrefix="0" xfId="0">
      <alignment vertical="center"/>
    </xf>
    <xf numFmtId="49" fontId="8" fillId="3" borderId="3" applyAlignment="1" applyProtection="1" pivotButton="0" quotePrefix="0" xfId="0">
      <alignment horizontal="left" vertical="center" shrinkToFit="1" indent="1"/>
      <protection locked="0" hidden="0"/>
    </xf>
    <xf numFmtId="49" fontId="8" fillId="3" borderId="3" applyAlignment="1" applyProtection="1" pivotButton="0" quotePrefix="0" xfId="0">
      <alignment horizontal="right" vertical="center" indent="1"/>
      <protection locked="0" hidden="0"/>
    </xf>
    <xf numFmtId="165" fontId="8" fillId="3" borderId="3" applyAlignment="1" applyProtection="1" pivotButton="0" quotePrefix="0" xfId="0">
      <alignment horizontal="right" vertical="center" indent="1"/>
      <protection locked="0" hidden="0"/>
    </xf>
    <xf numFmtId="1" fontId="8" fillId="3" borderId="3" applyAlignment="1" applyProtection="1" pivotButton="0" quotePrefix="0" xfId="0">
      <alignment horizontal="right" vertical="center" indent="1"/>
      <protection locked="0" hidden="0"/>
    </xf>
    <xf numFmtId="0" fontId="6" fillId="4" borderId="13" applyAlignment="1" pivotButton="0" quotePrefix="0" xfId="0">
      <alignment vertical="center"/>
    </xf>
    <xf numFmtId="0" fontId="0" fillId="4" borderId="13" pivotButton="0" quotePrefix="0" xfId="0"/>
    <xf numFmtId="165" fontId="6" fillId="4" borderId="13" applyAlignment="1" pivotButton="0" quotePrefix="0" xfId="0">
      <alignment horizontal="right" vertical="center" indent="1"/>
    </xf>
    <xf numFmtId="9" fontId="8" fillId="3" borderId="3" applyAlignment="1" applyProtection="1" pivotButton="0" quotePrefix="0" xfId="0">
      <alignment horizontal="right" vertical="center" indent="1"/>
      <protection locked="0" hidden="0"/>
    </xf>
    <xf numFmtId="166" fontId="8" fillId="3" borderId="3" applyAlignment="1" applyProtection="1" pivotButton="0" quotePrefix="0" xfId="0">
      <alignment horizontal="right" vertical="center" indent="1"/>
      <protection locked="0" hidden="0"/>
    </xf>
    <xf numFmtId="0" fontId="9" fillId="4" borderId="9" applyAlignment="1" pivotButton="0" quotePrefix="0" xfId="0">
      <alignment vertical="center"/>
    </xf>
    <xf numFmtId="0" fontId="4" fillId="4" borderId="9" applyAlignment="1" pivotButton="0" quotePrefix="0" xfId="0">
      <alignment vertical="top"/>
    </xf>
    <xf numFmtId="0" fontId="5" fillId="4" borderId="14" applyAlignment="1" pivotButton="0" quotePrefix="0" xfId="0">
      <alignment horizontal="left" vertical="bottom" wrapText="1"/>
    </xf>
    <xf numFmtId="0" fontId="0" fillId="4" borderId="14" pivotButton="0" quotePrefix="0" xfId="0"/>
    <xf numFmtId="0" fontId="5" fillId="4" borderId="14" applyAlignment="1" pivotButton="0" quotePrefix="0" xfId="0">
      <alignment horizontal="right" vertical="bottom" wrapText="1" indent="1"/>
    </xf>
    <xf numFmtId="0" fontId="5" fillId="4" borderId="14" applyAlignment="1" pivotButton="0" quotePrefix="0" xfId="0">
      <alignment horizontal="right" vertical="bottom" wrapText="1"/>
    </xf>
    <xf numFmtId="0" fontId="8" fillId="3" borderId="15" applyAlignment="1" applyProtection="1" pivotButton="0" quotePrefix="0" xfId="0">
      <alignment horizontal="left" vertical="center" indent="1"/>
      <protection locked="0" hidden="0"/>
    </xf>
    <xf numFmtId="0" fontId="8" fillId="3" borderId="15" applyAlignment="1" applyProtection="1" pivotButton="0" quotePrefix="0" xfId="0">
      <alignment horizontal="right" vertical="center" indent="1"/>
      <protection locked="0" hidden="0"/>
    </xf>
    <xf numFmtId="167" fontId="8" fillId="3" borderId="15" applyAlignment="1" applyProtection="1" pivotButton="0" quotePrefix="0" xfId="0">
      <alignment horizontal="right" vertical="center" indent="1"/>
      <protection locked="0" hidden="0"/>
    </xf>
    <xf numFmtId="167" fontId="10" fillId="4" borderId="1" applyAlignment="1" pivotButton="0" quotePrefix="0" xfId="0">
      <alignment horizontal="right" vertical="center"/>
    </xf>
    <xf numFmtId="167" fontId="6" fillId="4" borderId="13" applyAlignment="1" pivotButton="0" quotePrefix="0" xfId="0">
      <alignment horizontal="right" vertical="center" indent="1"/>
    </xf>
    <xf numFmtId="0" fontId="11" fillId="4" borderId="9" applyAlignment="1" pivotButton="0" quotePrefix="0" xfId="0">
      <alignment vertical="center" wrapText="1"/>
    </xf>
    <xf numFmtId="0" fontId="10" fillId="5" borderId="16" applyAlignment="1" pivotButton="0" quotePrefix="0" xfId="0">
      <alignment vertical="center"/>
    </xf>
    <xf numFmtId="0" fontId="0" fillId="5" borderId="16" pivotButton="0" quotePrefix="0" xfId="0"/>
    <xf numFmtId="167" fontId="9" fillId="5" borderId="16" applyAlignment="1" pivotButton="0" quotePrefix="0" xfId="0">
      <alignment horizontal="right" vertical="center" indent="1"/>
    </xf>
    <xf numFmtId="0" fontId="10" fillId="4" borderId="13" applyAlignment="1" pivotButton="0" quotePrefix="0" xfId="0">
      <alignment vertical="center"/>
    </xf>
    <xf numFmtId="167" fontId="10" fillId="4" borderId="13" applyAlignment="1" pivotButton="0" quotePrefix="0" xfId="0">
      <alignment horizontal="right" vertical="center" indent="1"/>
    </xf>
    <xf numFmtId="0" fontId="12" fillId="7" borderId="0" applyAlignment="1" pivotButton="0" quotePrefix="0" xfId="0">
      <alignment vertical="center" wrapText="1"/>
    </xf>
    <xf numFmtId="0" fontId="22" fillId="4" borderId="9"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roofnotfluff.com/pressure-washing-price-calculator/" TargetMode="External" Id="rId1"/><Relationship Type="http://schemas.openxmlformats.org/officeDocument/2006/relationships/hyperlink" Target="https://proofnotfluff.com/house-cleaning-price-calculator/" TargetMode="External" Id="rId2"/><Relationship Type="http://schemas.openxmlformats.org/officeDocument/2006/relationships/hyperlink" Target="https://proofnotfluff.com/lawn-care-price-calculator/" TargetMode="External" Id="rId3"/><Relationship Type="http://schemas.openxmlformats.org/officeDocument/2006/relationships/hyperlink" Target="https://proofnotfluff.com/price-increase-calculator/" TargetMode="External" Id="rId4"/></Relationships>
</file>

<file path=xl/worksheets/sheet1.xml><?xml version="1.0" encoding="utf-8"?>
<worksheet xmlns="http://schemas.openxmlformats.org/spreadsheetml/2006/main">
  <sheetPr>
    <tabColor rgb="002E6B66"/>
    <outlinePr summaryBelow="1" summaryRight="1"/>
    <pageSetUpPr fitToPage="1"/>
  </sheetPr>
  <dimension ref="A1:Z84"/>
  <sheetViews>
    <sheetView showGridLines="0" zoomScale="100" workbookViewId="0">
      <selection activeCell="A1" sqref="A1"/>
    </sheetView>
  </sheetViews>
  <sheetFormatPr baseColWidth="8" defaultRowHeight="15"/>
  <cols>
    <col width="3" customWidth="1" min="1" max="1"/>
    <col width="2" customWidth="1" min="2" max="2"/>
    <col width="8" customWidth="1" min="3" max="3"/>
    <col width="62" customWidth="1" min="4" max="4"/>
    <col width="18" customWidth="1" min="5" max="5"/>
    <col width="2" customWidth="1" min="6" max="6"/>
    <col width="3" customWidth="1" min="7" max="7"/>
  </cols>
  <sheetData>
    <row r="1" ht="14"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32" customHeight="1">
      <c r="A2" s="1" t="n"/>
      <c r="B2" s="2" t="inlineStr">
        <is>
          <t>Job Estimate Template</t>
        </is>
      </c>
      <c r="C2" s="1" t="n"/>
      <c r="D2" s="1" t="n"/>
      <c r="E2" s="3" t="inlineStr">
        <is>
          <t>ProofNotFluff</t>
        </is>
      </c>
      <c r="F2" s="1" t="n"/>
      <c r="G2" s="1" t="n"/>
      <c r="H2" s="1" t="n"/>
      <c r="I2" s="1" t="n"/>
      <c r="J2" s="1" t="n"/>
      <c r="K2" s="1" t="n"/>
      <c r="L2" s="1" t="n"/>
      <c r="M2" s="1" t="n"/>
      <c r="N2" s="1" t="n"/>
      <c r="O2" s="1" t="n"/>
      <c r="P2" s="1" t="n"/>
      <c r="Q2" s="1" t="n"/>
      <c r="R2" s="1" t="n"/>
      <c r="S2" s="1" t="n"/>
      <c r="T2" s="1" t="n"/>
      <c r="U2" s="1" t="n"/>
      <c r="V2" s="1" t="n"/>
      <c r="W2" s="1" t="n"/>
      <c r="X2" s="1" t="n"/>
      <c r="Y2" s="1" t="n"/>
      <c r="Z2" s="1" t="n"/>
    </row>
    <row r="3" ht="12" customHeight="1">
      <c r="A3" s="1" t="n"/>
      <c r="B3" s="4" t="inlineStr">
        <is>
          <r>
            <rPr>
              <rFont val="Arial"/>
              <b val="1"/>
              <color rgb="00C8502F"/>
              <sz val="9"/>
            </rPr>
            <t>▬▬</t>
          </r>
          <r>
            <rPr>
              <rFont val="Arial"/>
              <sz val="9"/>
            </rPr>
            <t> </t>
          </r>
          <r>
            <rPr>
              <rFont val="Arial"/>
              <b val="1"/>
              <color rgb="002E6B66"/>
              <sz val="9"/>
            </rPr>
            <t>▬▬</t>
          </r>
          <r>
            <rPr>
              <rFont val="Arial"/>
              <sz val="9"/>
            </rPr>
            <t> </t>
          </r>
          <r>
            <rPr>
              <rFont val="Arial"/>
              <b val="1"/>
              <color rgb="006B4FA0"/>
              <sz val="9"/>
            </rPr>
            <t>▬▬</t>
          </r>
          <r>
            <rPr>
              <rFont val="Arial"/>
              <sz val="9"/>
            </rPr>
            <t> </t>
          </r>
          <r>
            <rPr>
              <rFont val="Arial"/>
              <b val="1"/>
              <color rgb="002F5F9E"/>
              <sz val="9"/>
            </rPr>
            <t>▬▬</t>
          </r>
          <r>
            <rPr>
              <rFont val="Arial"/>
              <sz val="9"/>
            </rPr>
            <t> </t>
          </r>
          <r>
            <rPr>
              <rFont val="Arial"/>
              <b val="1"/>
              <color rgb="008A6A1F"/>
              <sz val="9"/>
            </rPr>
            <t>▬▬</t>
          </r>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0" customHeight="1">
      <c r="A4" s="1" t="n"/>
      <c r="B4" s="5" t="inlineStr">
        <is>
          <t>Start here. One estimate tab, one page to print.</t>
        </is>
      </c>
      <c r="C4" s="1" t="n"/>
      <c r="D4" s="1" t="n"/>
      <c r="E4" s="6" t="inlineStr">
        <is>
          <t>Version 1, Oct 26, 2026</t>
        </is>
      </c>
      <c r="F4" s="1" t="n"/>
      <c r="G4" s="1" t="n"/>
      <c r="H4" s="1" t="n"/>
      <c r="I4" s="1" t="n"/>
      <c r="J4" s="1" t="n"/>
      <c r="K4" s="1" t="n"/>
      <c r="L4" s="1" t="n"/>
      <c r="M4" s="1" t="n"/>
      <c r="N4" s="1" t="n"/>
      <c r="O4" s="1" t="n"/>
      <c r="P4" s="1" t="n"/>
      <c r="Q4" s="1" t="n"/>
      <c r="R4" s="1" t="n"/>
      <c r="S4" s="1" t="n"/>
      <c r="T4" s="1" t="n"/>
      <c r="U4" s="1" t="n"/>
      <c r="V4" s="1" t="n"/>
      <c r="W4" s="1" t="n"/>
      <c r="X4" s="1" t="n"/>
      <c r="Y4" s="1" t="n"/>
      <c r="Z4" s="1" t="n"/>
    </row>
    <row r="5" ht="14" customHeight="1">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 customHeight="1">
      <c r="A6" s="1" t="n"/>
      <c r="B6" s="7" t="n"/>
      <c r="C6" s="8" t="n"/>
      <c r="D6" s="8" t="n"/>
      <c r="E6" s="8" t="n"/>
      <c r="F6" s="9" t="n"/>
      <c r="G6" s="1" t="n"/>
      <c r="H6" s="1" t="n"/>
      <c r="I6" s="1" t="n"/>
      <c r="J6" s="1" t="n"/>
      <c r="K6" s="1" t="n"/>
      <c r="L6" s="1" t="n"/>
      <c r="M6" s="1" t="n"/>
      <c r="N6" s="1" t="n"/>
      <c r="O6" s="1" t="n"/>
      <c r="P6" s="1" t="n"/>
      <c r="Q6" s="1" t="n"/>
      <c r="R6" s="1" t="n"/>
      <c r="S6" s="1" t="n"/>
      <c r="T6" s="1" t="n"/>
      <c r="U6" s="1" t="n"/>
      <c r="V6" s="1" t="n"/>
      <c r="W6" s="1" t="n"/>
      <c r="X6" s="1" t="n"/>
      <c r="Y6" s="1" t="n"/>
      <c r="Z6" s="1" t="n"/>
    </row>
    <row r="7" ht="24" customHeight="1">
      <c r="A7" s="1" t="n"/>
      <c r="B7" s="10" t="n"/>
      <c r="C7" s="11" t="inlineStr">
        <is>
          <t>What it does</t>
        </is>
      </c>
      <c r="D7" s="12" t="n"/>
      <c r="E7" s="12" t="n"/>
      <c r="F7" s="13" t="n"/>
      <c r="G7" s="1" t="n"/>
      <c r="H7" s="1" t="n"/>
      <c r="I7" s="1" t="n"/>
      <c r="J7" s="1" t="n"/>
      <c r="K7" s="1" t="n"/>
      <c r="L7" s="1" t="n"/>
      <c r="M7" s="1" t="n"/>
      <c r="N7" s="1" t="n"/>
      <c r="O7" s="1" t="n"/>
      <c r="P7" s="1" t="n"/>
      <c r="Q7" s="1" t="n"/>
      <c r="R7" s="1" t="n"/>
      <c r="S7" s="1" t="n"/>
      <c r="T7" s="1" t="n"/>
      <c r="U7" s="1" t="n"/>
      <c r="V7" s="1" t="n"/>
      <c r="W7" s="1" t="n"/>
      <c r="X7" s="1" t="n"/>
      <c r="Y7" s="1" t="n"/>
      <c r="Z7" s="1" t="n"/>
    </row>
    <row r="8" ht="50.4" customHeight="1">
      <c r="A8" s="1" t="n"/>
      <c r="B8" s="10" t="n"/>
      <c r="C8" s="14" t="inlineStr">
        <is>
          <t>A one-page estimate for cleaning, pest control, lawn care, pressure washing and other service jobs. Type your business, the customer and up to 8 lines of work. Each amount, the discount, sales tax, total, deposit and balance add up on their own. Print it or save it as a PDF to send.</t>
        </is>
      </c>
      <c r="D8" s="12" t="n"/>
      <c r="E8" s="12" t="n"/>
      <c r="F8" s="13" t="n"/>
      <c r="G8" s="1" t="n"/>
      <c r="H8" s="1" t="n"/>
      <c r="I8" s="1" t="n"/>
      <c r="J8" s="1" t="n"/>
      <c r="K8" s="1" t="n"/>
      <c r="L8" s="1" t="n"/>
      <c r="M8" s="1" t="n"/>
      <c r="N8" s="1" t="n"/>
      <c r="O8" s="1" t="n"/>
      <c r="P8" s="1" t="n"/>
      <c r="Q8" s="1" t="n"/>
      <c r="R8" s="1" t="n"/>
      <c r="S8" s="1" t="n"/>
      <c r="T8" s="1" t="n"/>
      <c r="U8" s="1" t="n"/>
      <c r="V8" s="1" t="n"/>
      <c r="W8" s="1" t="n"/>
      <c r="X8" s="1" t="n"/>
      <c r="Y8" s="1" t="n"/>
      <c r="Z8" s="1" t="n"/>
    </row>
    <row r="9" ht="12" customHeight="1">
      <c r="A9" s="1" t="n"/>
      <c r="B9" s="15" t="n"/>
      <c r="C9" s="16" t="n"/>
      <c r="D9" s="16" t="n"/>
      <c r="E9" s="16" t="n"/>
      <c r="F9" s="17" t="n"/>
      <c r="G9" s="1" t="n"/>
      <c r="H9" s="1" t="n"/>
      <c r="I9" s="1" t="n"/>
      <c r="J9" s="1" t="n"/>
      <c r="K9" s="1" t="n"/>
      <c r="L9" s="1" t="n"/>
      <c r="M9" s="1" t="n"/>
      <c r="N9" s="1" t="n"/>
      <c r="O9" s="1" t="n"/>
      <c r="P9" s="1" t="n"/>
      <c r="Q9" s="1" t="n"/>
      <c r="R9" s="1" t="n"/>
      <c r="S9" s="1" t="n"/>
      <c r="T9" s="1" t="n"/>
      <c r="U9" s="1" t="n"/>
      <c r="V9" s="1" t="n"/>
      <c r="W9" s="1" t="n"/>
      <c r="X9" s="1" t="n"/>
      <c r="Y9" s="1" t="n"/>
      <c r="Z9" s="1" t="n"/>
    </row>
    <row r="10">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 customHeight="1">
      <c r="A11" s="1" t="n"/>
      <c r="B11" s="7" t="n"/>
      <c r="C11" s="8" t="n"/>
      <c r="D11" s="8" t="n"/>
      <c r="E11" s="8" t="n"/>
      <c r="F11" s="9" t="n"/>
      <c r="G11" s="1" t="n"/>
      <c r="H11" s="1" t="n"/>
      <c r="I11" s="1" t="n"/>
      <c r="J11" s="1" t="n"/>
      <c r="K11" s="1" t="n"/>
      <c r="L11" s="1" t="n"/>
      <c r="M11" s="1" t="n"/>
      <c r="N11" s="1" t="n"/>
      <c r="O11" s="1" t="n"/>
      <c r="P11" s="1" t="n"/>
      <c r="Q11" s="1" t="n"/>
      <c r="R11" s="1" t="n"/>
      <c r="S11" s="1" t="n"/>
      <c r="T11" s="1" t="n"/>
      <c r="U11" s="1" t="n"/>
      <c r="V11" s="1" t="n"/>
      <c r="W11" s="1" t="n"/>
      <c r="X11" s="1" t="n"/>
      <c r="Y11" s="1" t="n"/>
      <c r="Z11" s="1" t="n"/>
    </row>
    <row r="12" ht="24" customHeight="1">
      <c r="A12" s="1" t="n"/>
      <c r="B12" s="10" t="n"/>
      <c r="C12" s="11" t="inlineStr">
        <is>
          <t>Three steps</t>
        </is>
      </c>
      <c r="D12" s="12" t="n"/>
      <c r="E12" s="12" t="n"/>
      <c r="F12" s="13" t="n"/>
      <c r="G12" s="1" t="n"/>
      <c r="H12" s="1" t="n"/>
      <c r="I12" s="1" t="n"/>
      <c r="J12" s="1" t="n"/>
      <c r="K12" s="1" t="n"/>
      <c r="L12" s="1" t="n"/>
      <c r="M12" s="1" t="n"/>
      <c r="N12" s="1" t="n"/>
      <c r="O12" s="1" t="n"/>
      <c r="P12" s="1" t="n"/>
      <c r="Q12" s="1" t="n"/>
      <c r="R12" s="1" t="n"/>
      <c r="S12" s="1" t="n"/>
      <c r="T12" s="1" t="n"/>
      <c r="U12" s="1" t="n"/>
      <c r="V12" s="1" t="n"/>
      <c r="W12" s="1" t="n"/>
      <c r="X12" s="1" t="n"/>
      <c r="Y12" s="1" t="n"/>
      <c r="Z12" s="1" t="n"/>
    </row>
    <row r="13" ht="39.6" customHeight="1">
      <c r="A13" s="1" t="n"/>
      <c r="B13" s="10" t="n"/>
      <c r="C13" s="18" t="n">
        <v>1</v>
      </c>
      <c r="D13" s="14" t="inlineStr">
        <is>
          <r>
            <rPr>
              <rFont val="Arial"/>
              <b val="1"/>
              <color rgb="001D2433"/>
              <sz val="10"/>
            </rPr>
            <t xml:space="preserve">Your details. </t>
          </r>
          <r>
            <rPr>
              <rFont val="Arial"/>
              <color rgb="001D2433"/>
              <sz val="10"/>
            </rPr>
            <t>On the Estimate tab, type your business name, phone and email once. They print at the top.</t>
          </r>
        </is>
      </c>
      <c r="E13" s="12" t="n"/>
      <c r="F13" s="13" t="n"/>
      <c r="G13" s="1" t="n"/>
      <c r="H13" s="1" t="n"/>
      <c r="I13" s="1" t="n"/>
      <c r="J13" s="1" t="n"/>
      <c r="K13" s="1" t="n"/>
      <c r="L13" s="1" t="n"/>
      <c r="M13" s="1" t="n"/>
      <c r="N13" s="1" t="n"/>
      <c r="O13" s="1" t="n"/>
      <c r="P13" s="1" t="n"/>
      <c r="Q13" s="1" t="n"/>
      <c r="R13" s="1" t="n"/>
      <c r="S13" s="1" t="n"/>
      <c r="T13" s="1" t="n"/>
      <c r="U13" s="1" t="n"/>
      <c r="V13" s="1" t="n"/>
      <c r="W13" s="1" t="n"/>
      <c r="X13" s="1" t="n"/>
      <c r="Y13" s="1" t="n"/>
      <c r="Z13" s="1" t="n"/>
    </row>
    <row r="14" ht="52.4" customHeight="1">
      <c r="A14" s="1" t="n"/>
      <c r="B14" s="10" t="n"/>
      <c r="C14" s="18" t="n">
        <v>2</v>
      </c>
      <c r="D14" s="14" t="inlineStr">
        <is>
          <r>
            <rPr>
              <rFont val="Arial"/>
              <b val="1"/>
              <color rgb="001D2433"/>
              <sz val="10"/>
            </rPr>
            <t xml:space="preserve">The job. </t>
          </r>
          <r>
            <rPr>
              <rFont val="Arial"/>
              <color rgb="001D2433"/>
              <sz val="10"/>
            </rPr>
            <t>Type the customer, the estimate number and date, then one line per piece of work: item, description, quantity, unit and rate. Set the discount, sales tax and deposit, or leave them at 0%.</t>
          </r>
        </is>
      </c>
      <c r="E14" s="12" t="n"/>
      <c r="F14" s="13" t="n"/>
      <c r="G14" s="1" t="n"/>
      <c r="H14" s="1" t="n"/>
      <c r="I14" s="1" t="n"/>
      <c r="J14" s="1" t="n"/>
      <c r="K14" s="1" t="n"/>
      <c r="L14" s="1" t="n"/>
      <c r="M14" s="1" t="n"/>
      <c r="N14" s="1" t="n"/>
      <c r="O14" s="1" t="n"/>
      <c r="P14" s="1" t="n"/>
      <c r="Q14" s="1" t="n"/>
      <c r="R14" s="1" t="n"/>
      <c r="S14" s="1" t="n"/>
      <c r="T14" s="1" t="n"/>
      <c r="U14" s="1" t="n"/>
      <c r="V14" s="1" t="n"/>
      <c r="W14" s="1" t="n"/>
      <c r="X14" s="1" t="n"/>
      <c r="Y14" s="1" t="n"/>
      <c r="Z14" s="1" t="n"/>
    </row>
    <row r="15" ht="39.6" customHeight="1">
      <c r="A15" s="1" t="n"/>
      <c r="B15" s="10" t="n"/>
      <c r="C15" s="18" t="n">
        <v>3</v>
      </c>
      <c r="D15" s="14" t="inlineStr">
        <is>
          <r>
            <rPr>
              <rFont val="Arial"/>
              <b val="1"/>
              <color rgb="001D2433"/>
              <sz val="10"/>
            </rPr>
            <t xml:space="preserve">Send it. </t>
          </r>
          <r>
            <rPr>
              <rFont val="Arial"/>
              <color rgb="001D2433"/>
              <sz val="10"/>
            </rPr>
            <t>File, Print fits the tab on one Letter page, or print to PDF and email it. The customer signs the acceptance lines and returns it with the deposit.</t>
          </r>
        </is>
      </c>
      <c r="E15" s="12" t="n"/>
      <c r="F15" s="13" t="n"/>
      <c r="G15" s="1" t="n"/>
      <c r="H15" s="1" t="n"/>
      <c r="I15" s="1" t="n"/>
      <c r="J15" s="1" t="n"/>
      <c r="K15" s="1" t="n"/>
      <c r="L15" s="1" t="n"/>
      <c r="M15" s="1" t="n"/>
      <c r="N15" s="1" t="n"/>
      <c r="O15" s="1" t="n"/>
      <c r="P15" s="1" t="n"/>
      <c r="Q15" s="1" t="n"/>
      <c r="R15" s="1" t="n"/>
      <c r="S15" s="1" t="n"/>
      <c r="T15" s="1" t="n"/>
      <c r="U15" s="1" t="n"/>
      <c r="V15" s="1" t="n"/>
      <c r="W15" s="1" t="n"/>
      <c r="X15" s="1" t="n"/>
      <c r="Y15" s="1" t="n"/>
      <c r="Z15" s="1" t="n"/>
    </row>
    <row r="16" ht="12" customHeight="1">
      <c r="A16" s="1" t="n"/>
      <c r="B16" s="15" t="n"/>
      <c r="C16" s="16" t="n"/>
      <c r="D16" s="16" t="n"/>
      <c r="E16" s="16" t="n"/>
      <c r="F16" s="17"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2" customHeight="1">
      <c r="A18" s="1" t="n"/>
      <c r="B18" s="7" t="n"/>
      <c r="C18" s="8" t="n"/>
      <c r="D18" s="8" t="n"/>
      <c r="E18" s="8" t="n"/>
      <c r="F18" s="9" t="n"/>
      <c r="G18" s="1" t="n"/>
      <c r="H18" s="1" t="n"/>
      <c r="I18" s="1" t="n"/>
      <c r="J18" s="1" t="n"/>
      <c r="K18" s="1" t="n"/>
      <c r="L18" s="1" t="n"/>
      <c r="M18" s="1" t="n"/>
      <c r="N18" s="1" t="n"/>
      <c r="O18" s="1" t="n"/>
      <c r="P18" s="1" t="n"/>
      <c r="Q18" s="1" t="n"/>
      <c r="R18" s="1" t="n"/>
      <c r="S18" s="1" t="n"/>
      <c r="T18" s="1" t="n"/>
      <c r="U18" s="1" t="n"/>
      <c r="V18" s="1" t="n"/>
      <c r="W18" s="1" t="n"/>
      <c r="X18" s="1" t="n"/>
      <c r="Y18" s="1" t="n"/>
      <c r="Z18" s="1" t="n"/>
    </row>
    <row r="19" ht="24" customHeight="1">
      <c r="A19" s="1" t="n"/>
      <c r="B19" s="10" t="n"/>
      <c r="C19" s="11" t="inlineStr">
        <is>
          <t>How to read the cells</t>
        </is>
      </c>
      <c r="D19" s="12" t="n"/>
      <c r="E19" s="12" t="n"/>
      <c r="F19" s="13" t="n"/>
      <c r="G19" s="1" t="n"/>
      <c r="H19" s="1" t="n"/>
      <c r="I19" s="1" t="n"/>
      <c r="J19" s="1" t="n"/>
      <c r="K19" s="1" t="n"/>
      <c r="L19" s="1" t="n"/>
      <c r="M19" s="1" t="n"/>
      <c r="N19" s="1" t="n"/>
      <c r="O19" s="1" t="n"/>
      <c r="P19" s="1" t="n"/>
      <c r="Q19" s="1" t="n"/>
      <c r="R19" s="1" t="n"/>
      <c r="S19" s="1" t="n"/>
      <c r="T19" s="1" t="n"/>
      <c r="U19" s="1" t="n"/>
      <c r="V19" s="1" t="n"/>
      <c r="W19" s="1" t="n"/>
      <c r="X19" s="1" t="n"/>
      <c r="Y19" s="1" t="n"/>
      <c r="Z19" s="1" t="n"/>
    </row>
    <row r="20" ht="30" customHeight="1">
      <c r="A20" s="1" t="n"/>
      <c r="B20" s="10" t="n"/>
      <c r="C20" s="19" t="n">
        <v>355</v>
      </c>
      <c r="D20" s="14" t="inlineStr">
        <is>
          <t>Yellow cells with blue text are yours to type in. Each one shows a hint when you select it.</t>
        </is>
      </c>
      <c r="E20" s="12" t="n"/>
      <c r="F20" s="13" t="n"/>
      <c r="G20" s="1" t="n"/>
      <c r="H20" s="1" t="n"/>
      <c r="I20" s="1" t="n"/>
      <c r="J20" s="1" t="n"/>
      <c r="K20" s="1" t="n"/>
      <c r="L20" s="1" t="n"/>
      <c r="M20" s="1" t="n"/>
      <c r="N20" s="1" t="n"/>
      <c r="O20" s="1" t="n"/>
      <c r="P20" s="1" t="n"/>
      <c r="Q20" s="1" t="n"/>
      <c r="R20" s="1" t="n"/>
      <c r="S20" s="1" t="n"/>
      <c r="T20" s="1" t="n"/>
      <c r="U20" s="1" t="n"/>
      <c r="V20" s="1" t="n"/>
      <c r="W20" s="1" t="n"/>
      <c r="X20" s="1" t="n"/>
      <c r="Y20" s="1" t="n"/>
      <c r="Z20" s="1" t="n"/>
    </row>
    <row r="21" ht="39.6" customHeight="1">
      <c r="A21" s="1" t="n"/>
      <c r="B21" s="10" t="n"/>
      <c r="C21" s="20" t="n">
        <v>760</v>
      </c>
      <c r="D21" s="14" t="inlineStr">
        <is>
          <t>Numbers on white are formulas. They update on their own and are locked so a stray keystroke can't break them.</t>
        </is>
      </c>
      <c r="E21" s="12" t="n"/>
      <c r="F21" s="13" t="n"/>
      <c r="G21" s="1" t="n"/>
      <c r="H21" s="1" t="n"/>
      <c r="I21" s="1" t="n"/>
      <c r="J21" s="1" t="n"/>
      <c r="K21" s="1" t="n"/>
      <c r="L21" s="1" t="n"/>
      <c r="M21" s="1" t="n"/>
      <c r="N21" s="1" t="n"/>
      <c r="O21" s="1" t="n"/>
      <c r="P21" s="1" t="n"/>
      <c r="Q21" s="1" t="n"/>
      <c r="R21" s="1" t="n"/>
      <c r="S21" s="1" t="n"/>
      <c r="T21" s="1" t="n"/>
      <c r="U21" s="1" t="n"/>
      <c r="V21" s="1" t="n"/>
      <c r="W21" s="1" t="n"/>
      <c r="X21" s="1" t="n"/>
      <c r="Y21" s="1" t="n"/>
      <c r="Z21" s="1" t="n"/>
    </row>
    <row r="22" ht="39.6" customHeight="1">
      <c r="A22" s="1" t="n"/>
      <c r="B22" s="10" t="n"/>
      <c r="C22" s="21" t="n">
        <v>718.2</v>
      </c>
      <c r="D22" s="14" t="inlineStr">
        <is>
          <t>The dark tile is the estimate total. It sits at the top of the Estimate tab and stays on screen as you scroll.</t>
        </is>
      </c>
      <c r="E22" s="12" t="n"/>
      <c r="F22" s="13" t="n"/>
      <c r="G22" s="1" t="n"/>
      <c r="H22" s="1" t="n"/>
      <c r="I22" s="1" t="n"/>
      <c r="J22" s="1" t="n"/>
      <c r="K22" s="1" t="n"/>
      <c r="L22" s="1" t="n"/>
      <c r="M22" s="1" t="n"/>
      <c r="N22" s="1" t="n"/>
      <c r="O22" s="1" t="n"/>
      <c r="P22" s="1" t="n"/>
      <c r="Q22" s="1" t="n"/>
      <c r="R22" s="1" t="n"/>
      <c r="S22" s="1" t="n"/>
      <c r="T22" s="1" t="n"/>
      <c r="U22" s="1" t="n"/>
      <c r="V22" s="1" t="n"/>
      <c r="W22" s="1" t="n"/>
      <c r="X22" s="1" t="n"/>
      <c r="Y22" s="1" t="n"/>
      <c r="Z22" s="1" t="n"/>
    </row>
    <row r="23" ht="37.6" customHeight="1">
      <c r="A23" s="1" t="n"/>
      <c r="B23" s="10" t="n"/>
      <c r="C23" s="22" t="inlineStr">
        <is>
          <t>Each tab is protected without a password. To change a locked cell, use Review, Unprotect Sheet in Excel, or Data, Protect sheets and ranges in Google Sheets.</t>
        </is>
      </c>
      <c r="D23" s="12" t="n"/>
      <c r="E23" s="12" t="n"/>
      <c r="F23" s="13" t="n"/>
      <c r="G23" s="1" t="n"/>
      <c r="H23" s="1" t="n"/>
      <c r="I23" s="1" t="n"/>
      <c r="J23" s="1" t="n"/>
      <c r="K23" s="1" t="n"/>
      <c r="L23" s="1" t="n"/>
      <c r="M23" s="1" t="n"/>
      <c r="N23" s="1" t="n"/>
      <c r="O23" s="1" t="n"/>
      <c r="P23" s="1" t="n"/>
      <c r="Q23" s="1" t="n"/>
      <c r="R23" s="1" t="n"/>
      <c r="S23" s="1" t="n"/>
      <c r="T23" s="1" t="n"/>
      <c r="U23" s="1" t="n"/>
      <c r="V23" s="1" t="n"/>
      <c r="W23" s="1" t="n"/>
      <c r="X23" s="1" t="n"/>
      <c r="Y23" s="1" t="n"/>
      <c r="Z23" s="1" t="n"/>
    </row>
    <row r="24" ht="12" customHeight="1">
      <c r="A24" s="1" t="n"/>
      <c r="B24" s="15" t="n"/>
      <c r="C24" s="16" t="n"/>
      <c r="D24" s="16" t="n"/>
      <c r="E24" s="16" t="n"/>
      <c r="F24" s="17" t="n"/>
      <c r="G24" s="1" t="n"/>
      <c r="H24" s="1" t="n"/>
      <c r="I24" s="1" t="n"/>
      <c r="J24" s="1" t="n"/>
      <c r="K24" s="1" t="n"/>
      <c r="L24" s="1" t="n"/>
      <c r="M24" s="1" t="n"/>
      <c r="N24" s="1" t="n"/>
      <c r="O24" s="1" t="n"/>
      <c r="P24" s="1" t="n"/>
      <c r="Q24" s="1" t="n"/>
      <c r="R24" s="1" t="n"/>
      <c r="S24" s="1" t="n"/>
      <c r="T24" s="1" t="n"/>
      <c r="U24" s="1" t="n"/>
      <c r="V24" s="1" t="n"/>
      <c r="W24" s="1" t="n"/>
      <c r="X24" s="1" t="n"/>
      <c r="Y24" s="1" t="n"/>
      <c r="Z24" s="1" t="n"/>
    </row>
    <row r="2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 customHeight="1">
      <c r="A26" s="1" t="n"/>
      <c r="B26" s="7" t="n"/>
      <c r="C26" s="8" t="n"/>
      <c r="D26" s="8" t="n"/>
      <c r="E26" s="8" t="n"/>
      <c r="F26" s="9" t="n"/>
      <c r="G26" s="1" t="n"/>
      <c r="H26" s="1" t="n"/>
      <c r="I26" s="1" t="n"/>
      <c r="J26" s="1" t="n"/>
      <c r="K26" s="1" t="n"/>
      <c r="L26" s="1" t="n"/>
      <c r="M26" s="1" t="n"/>
      <c r="N26" s="1" t="n"/>
      <c r="O26" s="1" t="n"/>
      <c r="P26" s="1" t="n"/>
      <c r="Q26" s="1" t="n"/>
      <c r="R26" s="1" t="n"/>
      <c r="S26" s="1" t="n"/>
      <c r="T26" s="1" t="n"/>
      <c r="U26" s="1" t="n"/>
      <c r="V26" s="1" t="n"/>
      <c r="W26" s="1" t="n"/>
      <c r="X26" s="1" t="n"/>
      <c r="Y26" s="1" t="n"/>
      <c r="Z26" s="1" t="n"/>
    </row>
    <row r="27" ht="24" customHeight="1">
      <c r="A27" s="1" t="n"/>
      <c r="B27" s="10" t="n"/>
      <c r="C27" s="11" t="inlineStr">
        <is>
          <t>The example</t>
        </is>
      </c>
      <c r="D27" s="12" t="n"/>
      <c r="E27" s="12" t="n"/>
      <c r="F27" s="13" t="n"/>
      <c r="G27" s="1" t="n"/>
      <c r="H27" s="1" t="n"/>
      <c r="I27" s="1" t="n"/>
      <c r="J27" s="1" t="n"/>
      <c r="K27" s="1" t="n"/>
      <c r="L27" s="1" t="n"/>
      <c r="M27" s="1" t="n"/>
      <c r="N27" s="1" t="n"/>
      <c r="O27" s="1" t="n"/>
      <c r="P27" s="1" t="n"/>
      <c r="Q27" s="1" t="n"/>
      <c r="R27" s="1" t="n"/>
      <c r="S27" s="1" t="n"/>
      <c r="T27" s="1" t="n"/>
      <c r="U27" s="1" t="n"/>
      <c r="V27" s="1" t="n"/>
      <c r="W27" s="1" t="n"/>
      <c r="X27" s="1" t="n"/>
      <c r="Y27" s="1" t="n"/>
      <c r="Z27" s="1" t="n"/>
    </row>
    <row r="28" ht="88.8" customHeight="1">
      <c r="A28" s="1" t="n"/>
      <c r="B28" s="10" t="n"/>
      <c r="C28" s="14" t="inlineStr">
        <is>
          <t>The example is a made-up pressure washing business. Three lines of work: a 2-story house wash at $355.00, a 2-car driveway at $200.00 and gutter brightening at $205.00, a subtotal of $760.00. A 10% discount takes off $76.00, leaving $684.00. Sales tax at an example 5% adds $34.20, so the total is $718.20. A 25% deposit of $179.55 books the job and $538.65 is due when it is done. The prices are the quotes the free pressure washing price calculator at proofnotfluff.com gives for its own example business, not market prices for your area.</t>
        </is>
      </c>
      <c r="D28" s="12" t="n"/>
      <c r="E28" s="12" t="n"/>
      <c r="F28" s="13" t="n"/>
      <c r="G28" s="1" t="n"/>
      <c r="H28" s="1" t="n"/>
      <c r="I28" s="1" t="n"/>
      <c r="J28" s="1" t="n"/>
      <c r="K28" s="1" t="n"/>
      <c r="L28" s="1" t="n"/>
      <c r="M28" s="1" t="n"/>
      <c r="N28" s="1" t="n"/>
      <c r="O28" s="1" t="n"/>
      <c r="P28" s="1" t="n"/>
      <c r="Q28" s="1" t="n"/>
      <c r="R28" s="1" t="n"/>
      <c r="S28" s="1" t="n"/>
      <c r="T28" s="1" t="n"/>
      <c r="U28" s="1" t="n"/>
      <c r="V28" s="1" t="n"/>
      <c r="W28" s="1" t="n"/>
      <c r="X28" s="1" t="n"/>
      <c r="Y28" s="1" t="n"/>
      <c r="Z28" s="1" t="n"/>
    </row>
    <row r="29" ht="12" customHeight="1">
      <c r="A29" s="1" t="n"/>
      <c r="B29" s="15" t="n"/>
      <c r="C29" s="16" t="n"/>
      <c r="D29" s="16" t="n"/>
      <c r="E29" s="16" t="n"/>
      <c r="F29" s="17"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2" customHeight="1">
      <c r="A31" s="1" t="n"/>
      <c r="B31" s="7" t="n"/>
      <c r="C31" s="8" t="n"/>
      <c r="D31" s="8" t="n"/>
      <c r="E31" s="8" t="n"/>
      <c r="F31" s="9" t="n"/>
      <c r="G31" s="1" t="n"/>
      <c r="H31" s="1" t="n"/>
      <c r="I31" s="1" t="n"/>
      <c r="J31" s="1" t="n"/>
      <c r="K31" s="1" t="n"/>
      <c r="L31" s="1" t="n"/>
      <c r="M31" s="1" t="n"/>
      <c r="N31" s="1" t="n"/>
      <c r="O31" s="1" t="n"/>
      <c r="P31" s="1" t="n"/>
      <c r="Q31" s="1" t="n"/>
      <c r="R31" s="1" t="n"/>
      <c r="S31" s="1" t="n"/>
      <c r="T31" s="1" t="n"/>
      <c r="U31" s="1" t="n"/>
      <c r="V31" s="1" t="n"/>
      <c r="W31" s="1" t="n"/>
      <c r="X31" s="1" t="n"/>
      <c r="Y31" s="1" t="n"/>
      <c r="Z31" s="1" t="n"/>
    </row>
    <row r="32" ht="24" customHeight="1">
      <c r="A32" s="1" t="n"/>
      <c r="B32" s="10" t="n"/>
      <c r="C32" s="11" t="inlineStr">
        <is>
          <t>Good to know</t>
        </is>
      </c>
      <c r="D32" s="12" t="n"/>
      <c r="E32" s="12" t="n"/>
      <c r="F32" s="13" t="n"/>
      <c r="G32" s="1" t="n"/>
      <c r="H32" s="1" t="n"/>
      <c r="I32" s="1" t="n"/>
      <c r="J32" s="1" t="n"/>
      <c r="K32" s="1" t="n"/>
      <c r="L32" s="1" t="n"/>
      <c r="M32" s="1" t="n"/>
      <c r="N32" s="1" t="n"/>
      <c r="O32" s="1" t="n"/>
      <c r="P32" s="1" t="n"/>
      <c r="Q32" s="1" t="n"/>
      <c r="R32" s="1" t="n"/>
      <c r="S32" s="1" t="n"/>
      <c r="T32" s="1" t="n"/>
      <c r="U32" s="1" t="n"/>
      <c r="V32" s="1" t="n"/>
      <c r="W32" s="1" t="n"/>
      <c r="X32" s="1" t="n"/>
      <c r="Y32" s="1" t="n"/>
      <c r="Z32" s="1" t="n"/>
    </row>
    <row r="33" ht="37.6" customHeight="1">
      <c r="A33" s="1" t="n"/>
      <c r="B33" s="10" t="n"/>
      <c r="C33" s="14" t="inlineStr">
        <is>
          <r>
            <rPr>
              <rFont val="Arial"/>
              <b val="1"/>
              <color rgb="001D2433"/>
              <sz val="10"/>
            </rPr>
            <t xml:space="preserve">Clearing the example. </t>
          </r>
          <r>
            <rPr>
              <rFont val="Arial"/>
              <color rgb="001D2433"/>
              <sz val="10"/>
            </rPr>
            <t>Select the yellow cells and press Delete. Formulas live only in the white cells, so every total keeps working and a blank estimate shows no errors.</t>
          </r>
        </is>
      </c>
      <c r="D33" s="12" t="n"/>
      <c r="E33" s="12" t="n"/>
      <c r="F33" s="13" t="n"/>
      <c r="G33" s="1" t="n"/>
      <c r="H33" s="1" t="n"/>
      <c r="I33" s="1" t="n"/>
      <c r="J33" s="1" t="n"/>
      <c r="K33" s="1" t="n"/>
      <c r="L33" s="1" t="n"/>
      <c r="M33" s="1" t="n"/>
      <c r="N33" s="1" t="n"/>
      <c r="O33" s="1" t="n"/>
      <c r="P33" s="1" t="n"/>
      <c r="Q33" s="1" t="n"/>
      <c r="R33" s="1" t="n"/>
      <c r="S33" s="1" t="n"/>
      <c r="T33" s="1" t="n"/>
      <c r="U33" s="1" t="n"/>
      <c r="V33" s="1" t="n"/>
      <c r="W33" s="1" t="n"/>
      <c r="X33" s="1" t="n"/>
      <c r="Y33" s="1" t="n"/>
      <c r="Z33" s="1" t="n"/>
    </row>
    <row r="34" ht="37.6" customHeight="1">
      <c r="A34" s="1" t="n"/>
      <c r="B34" s="10" t="n"/>
      <c r="C34" s="14" t="inlineStr">
        <is>
          <r>
            <rPr>
              <rFont val="Arial"/>
              <b val="1"/>
              <color rgb="001D2433"/>
              <sz val="10"/>
            </rPr>
            <t xml:space="preserve">A new estimate each time. </t>
          </r>
          <r>
            <rPr>
              <rFont val="Arial"/>
              <color rgb="001D2433"/>
              <sz val="10"/>
            </rPr>
            <t>Save a copy of the file for each job (File, Save As), so every estimate you sent is kept.</t>
          </r>
        </is>
      </c>
      <c r="D34" s="12" t="n"/>
      <c r="E34" s="12" t="n"/>
      <c r="F34" s="13" t="n"/>
      <c r="G34" s="1" t="n"/>
      <c r="H34" s="1" t="n"/>
      <c r="I34" s="1" t="n"/>
      <c r="J34" s="1" t="n"/>
      <c r="K34" s="1" t="n"/>
      <c r="L34" s="1" t="n"/>
      <c r="M34" s="1" t="n"/>
      <c r="N34" s="1" t="n"/>
      <c r="O34" s="1" t="n"/>
      <c r="P34" s="1" t="n"/>
      <c r="Q34" s="1" t="n"/>
      <c r="R34" s="1" t="n"/>
      <c r="S34" s="1" t="n"/>
      <c r="T34" s="1" t="n"/>
      <c r="U34" s="1" t="n"/>
      <c r="V34" s="1" t="n"/>
      <c r="W34" s="1" t="n"/>
      <c r="X34" s="1" t="n"/>
      <c r="Y34" s="1" t="n"/>
      <c r="Z34" s="1" t="n"/>
    </row>
    <row r="35" ht="37.6" customHeight="1">
      <c r="A35" s="1" t="n"/>
      <c r="B35" s="10" t="n"/>
      <c r="C35" s="14" t="inlineStr">
        <is>
          <r>
            <rPr>
              <rFont val="Arial"/>
              <b val="1"/>
              <color rgb="001D2433"/>
              <sz val="10"/>
            </rPr>
            <t xml:space="preserve">Sales tax. </t>
          </r>
          <r>
            <rPr>
              <rFont val="Arial"/>
              <color rgb="001D2433"/>
              <sz val="10"/>
            </rPr>
            <t>Whether a service is taxed, and at what rate, depends on where you work and the kind of work. The tax rate cell is yours to set; it is charged on the total after the discount.</t>
          </r>
        </is>
      </c>
      <c r="D35" s="12" t="n"/>
      <c r="E35" s="12" t="n"/>
      <c r="F35" s="13" t="n"/>
      <c r="G35" s="1" t="n"/>
      <c r="H35" s="1" t="n"/>
      <c r="I35" s="1" t="n"/>
      <c r="J35" s="1" t="n"/>
      <c r="K35" s="1" t="n"/>
      <c r="L35" s="1" t="n"/>
      <c r="M35" s="1" t="n"/>
      <c r="N35" s="1" t="n"/>
      <c r="O35" s="1" t="n"/>
      <c r="P35" s="1" t="n"/>
      <c r="Q35" s="1" t="n"/>
      <c r="R35" s="1" t="n"/>
      <c r="S35" s="1" t="n"/>
      <c r="T35" s="1" t="n"/>
      <c r="U35" s="1" t="n"/>
      <c r="V35" s="1" t="n"/>
      <c r="W35" s="1" t="n"/>
      <c r="X35" s="1" t="n"/>
      <c r="Y35" s="1" t="n"/>
      <c r="Z35" s="1" t="n"/>
    </row>
    <row r="36" ht="37.6" customHeight="1">
      <c r="A36" s="1" t="n"/>
      <c r="B36" s="10" t="n"/>
      <c r="C36" s="14" t="inlineStr">
        <is>
          <r>
            <rPr>
              <rFont val="Arial"/>
              <b val="1"/>
              <color rgb="001D2433"/>
              <sz val="10"/>
            </rPr>
            <t xml:space="preserve">Pricing each line. </t>
          </r>
          <r>
            <rPr>
              <rFont val="Arial"/>
              <color rgb="001D2433"/>
              <sz val="10"/>
            </rPr>
            <t>The free calculators at proofnotfluff.com price a clean, a lawn visit or a pressure washing job from your own costs and time. The Terms tab links them.</t>
          </r>
        </is>
      </c>
      <c r="D36" s="12" t="n"/>
      <c r="E36" s="12" t="n"/>
      <c r="F36" s="13" t="n"/>
      <c r="G36" s="1" t="n"/>
      <c r="H36" s="1" t="n"/>
      <c r="I36" s="1" t="n"/>
      <c r="J36" s="1" t="n"/>
      <c r="K36" s="1" t="n"/>
      <c r="L36" s="1" t="n"/>
      <c r="M36" s="1" t="n"/>
      <c r="N36" s="1" t="n"/>
      <c r="O36" s="1" t="n"/>
      <c r="P36" s="1" t="n"/>
      <c r="Q36" s="1" t="n"/>
      <c r="R36" s="1" t="n"/>
      <c r="S36" s="1" t="n"/>
      <c r="T36" s="1" t="n"/>
      <c r="U36" s="1" t="n"/>
      <c r="V36" s="1" t="n"/>
      <c r="W36" s="1" t="n"/>
      <c r="X36" s="1" t="n"/>
      <c r="Y36" s="1" t="n"/>
      <c r="Z36" s="1" t="n"/>
    </row>
    <row r="37" ht="37.6" customHeight="1">
      <c r="A37" s="1" t="n"/>
      <c r="B37" s="10" t="n"/>
      <c r="C37" s="14" t="inlineStr">
        <is>
          <r>
            <rPr>
              <rFont val="Arial"/>
              <b val="1"/>
              <color rgb="001D2433"/>
              <sz val="10"/>
            </rPr>
            <t xml:space="preserve">Google Sheets. </t>
          </r>
          <r>
            <rPr>
              <rFont val="Arial"/>
              <color rgb="001D2433"/>
              <sz val="10"/>
            </rPr>
            <t>Upload the .xlsx to Google Drive, open it, then File, Save as Google Sheets. No macros, no add-ons.</t>
          </r>
        </is>
      </c>
      <c r="D37" s="12" t="n"/>
      <c r="E37" s="12" t="n"/>
      <c r="F37" s="13"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 customHeight="1">
      <c r="A38" s="1" t="n"/>
      <c r="B38" s="15" t="n"/>
      <c r="C38" s="16" t="n"/>
      <c r="D38" s="16" t="n"/>
      <c r="E38" s="16" t="n"/>
      <c r="F38" s="17"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 customHeight="1">
      <c r="A40" s="1" t="n"/>
      <c r="B40" s="7" t="n"/>
      <c r="C40" s="8" t="n"/>
      <c r="D40" s="8" t="n"/>
      <c r="E40" s="8" t="n"/>
      <c r="F40" s="9" t="n"/>
      <c r="G40" s="1" t="n"/>
      <c r="H40" s="1" t="n"/>
      <c r="I40" s="1" t="n"/>
      <c r="J40" s="1" t="n"/>
      <c r="K40" s="1" t="n"/>
      <c r="L40" s="1" t="n"/>
      <c r="M40" s="1" t="n"/>
      <c r="N40" s="1" t="n"/>
      <c r="O40" s="1" t="n"/>
      <c r="P40" s="1" t="n"/>
      <c r="Q40" s="1" t="n"/>
      <c r="R40" s="1" t="n"/>
      <c r="S40" s="1" t="n"/>
      <c r="T40" s="1" t="n"/>
      <c r="U40" s="1" t="n"/>
      <c r="V40" s="1" t="n"/>
      <c r="W40" s="1" t="n"/>
      <c r="X40" s="1" t="n"/>
      <c r="Y40" s="1" t="n"/>
      <c r="Z40" s="1" t="n"/>
    </row>
    <row r="41" ht="24" customHeight="1">
      <c r="A41" s="1" t="n"/>
      <c r="B41" s="10" t="n"/>
      <c r="C41" s="11" t="inlineStr">
        <is>
          <t>Before you rely on a number</t>
        </is>
      </c>
      <c r="D41" s="12" t="n"/>
      <c r="E41" s="12" t="n"/>
      <c r="F41" s="13" t="n"/>
      <c r="G41" s="1" t="n"/>
      <c r="H41" s="1" t="n"/>
      <c r="I41" s="1" t="n"/>
      <c r="J41" s="1" t="n"/>
      <c r="K41" s="1" t="n"/>
      <c r="L41" s="1" t="n"/>
      <c r="M41" s="1" t="n"/>
      <c r="N41" s="1" t="n"/>
      <c r="O41" s="1" t="n"/>
      <c r="P41" s="1" t="n"/>
      <c r="Q41" s="1" t="n"/>
      <c r="R41" s="1" t="n"/>
      <c r="S41" s="1" t="n"/>
      <c r="T41" s="1" t="n"/>
      <c r="U41" s="1" t="n"/>
      <c r="V41" s="1" t="n"/>
      <c r="W41" s="1" t="n"/>
      <c r="X41" s="1" t="n"/>
      <c r="Y41" s="1" t="n"/>
      <c r="Z41" s="1" t="n"/>
    </row>
    <row r="42" ht="63.2" customHeight="1">
      <c r="A42" s="1" t="n"/>
      <c r="B42" s="10" t="n"/>
      <c r="C42" s="22" t="inlineStr">
        <is>
          <t>For general information and planning only. This is not legal, tax, financial, medical or other professional advice, and using it doesn't create a professional relationship. Results are estimates based on the numbers you enter. Figures were checked on October 26, 2026 and can change. See the Terms tab before you rely on anything here.</t>
        </is>
      </c>
      <c r="D42" s="12" t="n"/>
      <c r="E42" s="12" t="n"/>
      <c r="F42" s="13" t="n"/>
      <c r="G42" s="1" t="n"/>
      <c r="H42" s="1" t="n"/>
      <c r="I42" s="1" t="n"/>
      <c r="J42" s="1" t="n"/>
      <c r="K42" s="1" t="n"/>
      <c r="L42" s="1" t="n"/>
      <c r="M42" s="1" t="n"/>
      <c r="N42" s="1" t="n"/>
      <c r="O42" s="1" t="n"/>
      <c r="P42" s="1" t="n"/>
      <c r="Q42" s="1" t="n"/>
      <c r="R42" s="1" t="n"/>
      <c r="S42" s="1" t="n"/>
      <c r="T42" s="1" t="n"/>
      <c r="U42" s="1" t="n"/>
      <c r="V42" s="1" t="n"/>
      <c r="W42" s="1" t="n"/>
      <c r="X42" s="1" t="n"/>
      <c r="Y42" s="1" t="n"/>
      <c r="Z42" s="1" t="n"/>
    </row>
    <row r="43" ht="50.4" customHeight="1">
      <c r="A43" s="1" t="n"/>
      <c r="B43" s="10" t="n"/>
      <c r="C43" s="22" t="inlineStr">
        <is>
          <t>These are sample forms to adapt, not legal documents written for your state or business. Have a local attorney review any agreement before you use it with clients. If you collect client information, you're responsible for keeping it secure and following the privacy laws that apply to you.</t>
        </is>
      </c>
      <c r="D43" s="12" t="n"/>
      <c r="E43" s="12" t="n"/>
      <c r="F43" s="13"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 customHeight="1">
      <c r="A44" s="1" t="n"/>
      <c r="B44" s="15" t="n"/>
      <c r="C44" s="16" t="n"/>
      <c r="D44" s="16" t="n"/>
      <c r="E44" s="16" t="n"/>
      <c r="F44" s="17"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sheetData>
  <sheetProtection selectLockedCells="0" selectUnlockedCells="0" sheet="1" objects="1" insertRows="1" insertHyperlinks="1" autoFilter="1" scenarios="1" formatColumns="0" deleteColumns="1" insertColumns="1" pivotTables="1" deleteRows="1" formatCells="0" formatRows="0" sort="1"/>
  <mergeCells count="26">
    <mergeCell ref="D20:E20"/>
    <mergeCell ref="C41:E41"/>
    <mergeCell ref="D22:E22"/>
    <mergeCell ref="C43:E43"/>
    <mergeCell ref="C12:E12"/>
    <mergeCell ref="D21:E21"/>
    <mergeCell ref="E4:F4"/>
    <mergeCell ref="C36:E36"/>
    <mergeCell ref="C27:E27"/>
    <mergeCell ref="D13:E13"/>
    <mergeCell ref="C23:E23"/>
    <mergeCell ref="C8:E8"/>
    <mergeCell ref="C7:E7"/>
    <mergeCell ref="C32:E32"/>
    <mergeCell ref="C28:E28"/>
    <mergeCell ref="C19:E19"/>
    <mergeCell ref="C37:E37"/>
    <mergeCell ref="E2:F2"/>
    <mergeCell ref="B4:D4"/>
    <mergeCell ref="C34:E34"/>
    <mergeCell ref="C42:E42"/>
    <mergeCell ref="C33:E33"/>
    <mergeCell ref="D15:E15"/>
    <mergeCell ref="D14:E14"/>
    <mergeCell ref="C35:E35"/>
    <mergeCell ref="B2:D2"/>
  </mergeCells>
  <printOptions horizontalCentered="1"/>
  <pageMargins left="0.5" right="0.5" top="0.7" bottom="0.7" header="0.3" footer="0.3"/>
  <pageSetup orientation="portrait" paperSize="1" fitToHeight="0" fitToWidth="1"/>
  <headerFooter>
    <oddHeader>&amp;L&amp;"Arial"&amp;8 ProofNotFluff&amp;R&amp;"Arial"&amp;8 Job Estimate Template</oddHeader>
    <oddFooter>&amp;L&amp;"Arial"&amp;8 Sample form. Estimates only, not legal or tax advice. See the Terms tab.&amp;R&amp;"Arial"&amp;8 Page &amp;P of &amp;N</oddFooter>
    <evenHeader/>
    <evenFooter/>
    <firstHeader/>
    <firstFooter/>
  </headerFooter>
  <rowBreaks count="1" manualBreakCount="1">
    <brk id="25" min="0" max="16383" man="1"/>
  </rowBreaks>
</worksheet>
</file>

<file path=xl/worksheets/sheet2.xml><?xml version="1.0" encoding="utf-8"?>
<worksheet xmlns="http://schemas.openxmlformats.org/spreadsheetml/2006/main">
  <sheetPr>
    <tabColor rgb="00C8502F"/>
    <outlinePr summaryBelow="1" summaryRight="1"/>
    <pageSetUpPr fitToPage="1"/>
  </sheetPr>
  <dimension ref="A1:Z86"/>
  <sheetViews>
    <sheetView showGridLines="0" zoomScale="100" workbookViewId="0">
      <pane ySplit="10" topLeftCell="A11" activePane="bottomLeft" state="frozen"/>
      <selection pane="bottomLeft" activeCell="A1" sqref="A1"/>
    </sheetView>
  </sheetViews>
  <sheetFormatPr baseColWidth="8" defaultRowHeight="15"/>
  <cols>
    <col width="3" customWidth="1" min="1" max="1"/>
    <col width="2" customWidth="1" min="2" max="2"/>
    <col width="21" customWidth="1" min="3" max="3"/>
    <col width="31" customWidth="1" min="4" max="4"/>
    <col width="2" customWidth="1" min="5" max="5"/>
    <col width="2" customWidth="1" min="6" max="6"/>
    <col width="9" customWidth="1" min="7" max="7"/>
    <col width="10" customWidth="1" min="8" max="8"/>
    <col width="12" customWidth="1" min="9" max="9"/>
    <col width="14" customWidth="1" min="10" max="10"/>
    <col width="2" customWidth="1" min="11" max="11"/>
    <col width="3" customWidth="1" min="12" max="12"/>
  </cols>
  <sheetData>
    <row r="1" ht="14"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32" customHeight="1">
      <c r="A2" s="1" t="n"/>
      <c r="B2" s="2">
        <f>IF($D$13="","Your business name",$D$13)</f>
        <v/>
      </c>
      <c r="C2" s="1" t="n"/>
      <c r="D2" s="1" t="n"/>
      <c r="E2" s="1" t="n"/>
      <c r="F2" s="1" t="n"/>
      <c r="G2" s="1" t="n"/>
      <c r="H2" s="1" t="n"/>
      <c r="I2" s="23">
        <f>IF($J$13="","ESTIMATE","ESTIMATE "&amp;$J$13)</f>
        <v/>
      </c>
      <c r="J2" s="1" t="n"/>
      <c r="K2" s="1" t="n"/>
      <c r="L2" s="1" t="n"/>
      <c r="M2" s="1" t="n"/>
      <c r="N2" s="1" t="n"/>
      <c r="O2" s="1" t="n"/>
      <c r="P2" s="1" t="n"/>
      <c r="Q2" s="1" t="n"/>
      <c r="R2" s="1" t="n"/>
      <c r="S2" s="1" t="n"/>
      <c r="T2" s="1" t="n"/>
      <c r="U2" s="1" t="n"/>
      <c r="V2" s="1" t="n"/>
      <c r="W2" s="1" t="n"/>
      <c r="X2" s="1" t="n"/>
      <c r="Y2" s="1" t="n"/>
      <c r="Z2" s="1" t="n"/>
    </row>
    <row r="3" ht="12" customHeight="1">
      <c r="A3" s="1" t="n"/>
      <c r="B3" s="4" t="inlineStr">
        <is>
          <r>
            <rPr>
              <rFont val="Arial"/>
              <b val="1"/>
              <color rgb="00C8502F"/>
              <sz val="9"/>
            </rPr>
            <t>▬▬</t>
          </r>
          <r>
            <rPr>
              <rFont val="Arial"/>
              <sz val="9"/>
            </rPr>
            <t> </t>
          </r>
          <r>
            <rPr>
              <rFont val="Arial"/>
              <b val="1"/>
              <color rgb="002E6B66"/>
              <sz val="9"/>
            </rPr>
            <t>▬▬</t>
          </r>
          <r>
            <rPr>
              <rFont val="Arial"/>
              <sz val="9"/>
            </rPr>
            <t> </t>
          </r>
          <r>
            <rPr>
              <rFont val="Arial"/>
              <b val="1"/>
              <color rgb="006B4FA0"/>
              <sz val="9"/>
            </rPr>
            <t>▬▬</t>
          </r>
          <r>
            <rPr>
              <rFont val="Arial"/>
              <sz val="9"/>
            </rPr>
            <t> </t>
          </r>
          <r>
            <rPr>
              <rFont val="Arial"/>
              <b val="1"/>
              <color rgb="002F5F9E"/>
              <sz val="9"/>
            </rPr>
            <t>▬▬</t>
          </r>
          <r>
            <rPr>
              <rFont val="Arial"/>
              <sz val="9"/>
            </rPr>
            <t> </t>
          </r>
          <r>
            <rPr>
              <rFont val="Arial"/>
              <b val="1"/>
              <color rgb="008A6A1F"/>
              <sz val="9"/>
            </rPr>
            <t>▬▬</t>
          </r>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0" customHeight="1">
      <c r="A4" s="1" t="n"/>
      <c r="B4" s="5">
        <f>IF(AND($D$14="",$D$15="",$D$16=""),"",$D$14&amp;IF(AND($D$14&lt;&gt;"",$D$15&lt;&gt;"")," | ","")&amp;$D$15&amp;IF($D$16&lt;&gt;"",IF(OR($D$14&lt;&gt;"",$D$15&lt;&gt;"")," | ","")&amp;$D$16,""))</f>
        <v/>
      </c>
      <c r="C4" s="1" t="n"/>
      <c r="D4" s="1" t="n"/>
      <c r="E4" s="1" t="n"/>
      <c r="F4" s="1" t="n"/>
      <c r="G4" s="1" t="n"/>
      <c r="H4" s="1" t="n"/>
      <c r="I4" s="24">
        <f>IF($J$14="","",$J$14)</f>
        <v/>
      </c>
      <c r="J4" s="1" t="n"/>
      <c r="K4" s="1" t="n"/>
      <c r="L4" s="1" t="n"/>
      <c r="M4" s="1" t="n"/>
      <c r="N4" s="1" t="n"/>
      <c r="O4" s="1" t="n"/>
      <c r="P4" s="1" t="n"/>
      <c r="Q4" s="1" t="n"/>
      <c r="R4" s="1" t="n"/>
      <c r="S4" s="1" t="n"/>
      <c r="T4" s="1" t="n"/>
      <c r="U4" s="1" t="n"/>
      <c r="V4" s="1" t="n"/>
      <c r="W4" s="1" t="n"/>
      <c r="X4" s="1" t="n"/>
      <c r="Y4" s="1" t="n"/>
      <c r="Z4" s="1" t="n"/>
    </row>
    <row r="5" ht="14" customHeight="1">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20" customHeight="1">
      <c r="A6" s="1" t="n"/>
      <c r="B6" s="25" t="n"/>
      <c r="C6" s="26" t="inlineStr">
        <is>
          <t>ESTIMATE TOTAL</t>
        </is>
      </c>
      <c r="D6" s="27" t="n"/>
      <c r="E6" s="28" t="n"/>
      <c r="F6" s="7" t="n"/>
      <c r="G6" s="29" t="inlineStr">
        <is>
          <t>FOR</t>
        </is>
      </c>
      <c r="H6" s="8" t="n"/>
      <c r="I6" s="8" t="n"/>
      <c r="J6" s="8" t="n"/>
      <c r="K6" s="9" t="n"/>
      <c r="L6" s="1" t="n"/>
      <c r="M6" s="1" t="n"/>
      <c r="N6" s="1" t="n"/>
      <c r="O6" s="1" t="n"/>
      <c r="P6" s="1" t="n"/>
      <c r="Q6" s="1" t="n"/>
      <c r="R6" s="1" t="n"/>
      <c r="S6" s="1" t="n"/>
      <c r="T6" s="1" t="n"/>
      <c r="U6" s="1" t="n"/>
      <c r="V6" s="1" t="n"/>
      <c r="W6" s="1" t="n"/>
      <c r="X6" s="1" t="n"/>
      <c r="Y6" s="1" t="n"/>
      <c r="Z6" s="1" t="n"/>
    </row>
    <row r="7" ht="44" customHeight="1">
      <c r="A7" s="1" t="n"/>
      <c r="B7" s="30" t="n"/>
      <c r="C7" s="31">
        <f>$J$42</f>
        <v/>
      </c>
      <c r="D7" s="32" t="n"/>
      <c r="E7" s="33" t="n"/>
      <c r="F7" s="10" t="n"/>
      <c r="G7" s="34">
        <f>IF($D$18="","Customer name",$D$18)</f>
        <v/>
      </c>
      <c r="H7" s="12" t="n"/>
      <c r="I7" s="12" t="n"/>
      <c r="J7" s="12" t="n"/>
      <c r="K7" s="13" t="n"/>
      <c r="L7" s="1" t="n"/>
      <c r="M7" s="1" t="n"/>
      <c r="N7" s="1" t="n"/>
      <c r="O7" s="1" t="n"/>
      <c r="P7" s="1" t="n"/>
      <c r="Q7" s="1" t="n"/>
      <c r="R7" s="1" t="n"/>
      <c r="S7" s="1" t="n"/>
      <c r="T7" s="1" t="n"/>
      <c r="U7" s="1" t="n"/>
      <c r="V7" s="1" t="n"/>
      <c r="W7" s="1" t="n"/>
      <c r="X7" s="1" t="n"/>
      <c r="Y7" s="1" t="n"/>
      <c r="Z7" s="1" t="n"/>
    </row>
    <row r="8" ht="20" customHeight="1">
      <c r="A8" s="1" t="n"/>
      <c r="B8" s="30" t="n"/>
      <c r="C8" s="35">
        <f>IF($J$42="","Add a line item below to start the estimate",IF(N($J$43)&gt;0,"Deposit to book "&amp;TEXT($J$43,"$#,##0.00")&amp;", balance "&amp;TEXT($J$44,"$#,##0.00"),"No deposit. Total due as set out in the terms"))</f>
        <v/>
      </c>
      <c r="D8" s="32" t="n"/>
      <c r="E8" s="33" t="n"/>
      <c r="F8" s="10" t="n"/>
      <c r="G8" s="36">
        <f>IF($J$16="",IF($D$19="","",$D$19),IF($D$19="","",$D$19&amp;". ")&amp;"Prices good until "&amp;TEXT($J$16,"mmm d, yyyy"))</f>
        <v/>
      </c>
      <c r="H8" s="12" t="n"/>
      <c r="I8" s="12" t="n"/>
      <c r="J8" s="12" t="n"/>
      <c r="K8" s="13" t="n"/>
      <c r="L8" s="1" t="n"/>
      <c r="M8" s="1" t="n"/>
      <c r="N8" s="1" t="n"/>
      <c r="O8" s="1" t="n"/>
      <c r="P8" s="1" t="n"/>
      <c r="Q8" s="1" t="n"/>
      <c r="R8" s="1" t="n"/>
      <c r="S8" s="1" t="n"/>
      <c r="T8" s="1" t="n"/>
      <c r="U8" s="1" t="n"/>
      <c r="V8" s="1" t="n"/>
      <c r="W8" s="1" t="n"/>
      <c r="X8" s="1" t="n"/>
      <c r="Y8" s="1" t="n"/>
      <c r="Z8" s="1" t="n"/>
    </row>
    <row r="9" ht="10" customHeight="1">
      <c r="A9" s="1" t="n"/>
      <c r="B9" s="37" t="n"/>
      <c r="C9" s="38" t="n"/>
      <c r="D9" s="38" t="n"/>
      <c r="E9" s="39" t="n"/>
      <c r="F9" s="15" t="n"/>
      <c r="G9" s="16" t="n"/>
      <c r="H9" s="16" t="n"/>
      <c r="I9" s="16" t="n"/>
      <c r="J9" s="16" t="n"/>
      <c r="K9" s="17" t="n"/>
      <c r="L9" s="1" t="n"/>
      <c r="M9" s="1" t="n"/>
      <c r="N9" s="1" t="n"/>
      <c r="O9" s="1" t="n"/>
      <c r="P9" s="1" t="n"/>
      <c r="Q9" s="1" t="n"/>
      <c r="R9" s="1" t="n"/>
      <c r="S9" s="1" t="n"/>
      <c r="T9" s="1" t="n"/>
      <c r="U9" s="1" t="n"/>
      <c r="V9" s="1" t="n"/>
      <c r="W9" s="1" t="n"/>
      <c r="X9" s="1" t="n"/>
      <c r="Y9" s="1" t="n"/>
      <c r="Z9" s="1" t="n"/>
    </row>
    <row r="10" ht="14" customHeight="1">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21" customHeight="1">
      <c r="A11" s="1" t="n"/>
      <c r="B11" s="7" t="n"/>
      <c r="C11" s="8" t="n"/>
      <c r="D11" s="8" t="n"/>
      <c r="E11" s="9" t="n"/>
      <c r="F11" s="7" t="n"/>
      <c r="G11" s="8" t="n"/>
      <c r="H11" s="8" t="n"/>
      <c r="I11" s="8" t="n"/>
      <c r="J11" s="8" t="n"/>
      <c r="K11" s="9" t="n"/>
      <c r="L11" s="1" t="n"/>
      <c r="M11" s="1" t="n"/>
      <c r="N11" s="1" t="n"/>
      <c r="O11" s="1" t="n"/>
      <c r="P11" s="1" t="n"/>
      <c r="Q11" s="1" t="n"/>
      <c r="R11" s="1" t="n"/>
      <c r="S11" s="1" t="n"/>
      <c r="T11" s="1" t="n"/>
      <c r="U11" s="1" t="n"/>
      <c r="V11" s="1" t="n"/>
      <c r="W11" s="1" t="n"/>
      <c r="X11" s="1" t="n"/>
      <c r="Y11" s="1" t="n"/>
      <c r="Z11" s="1" t="n"/>
    </row>
    <row r="12" ht="21" customHeight="1">
      <c r="A12" s="1" t="n"/>
      <c r="B12" s="10" t="n"/>
      <c r="C12" s="40" t="inlineStr">
        <is>
          <t>FROM</t>
        </is>
      </c>
      <c r="D12" s="41" t="n"/>
      <c r="E12" s="13" t="n"/>
      <c r="F12" s="10" t="n"/>
      <c r="G12" s="40" t="inlineStr">
        <is>
          <t>ESTIMATE</t>
        </is>
      </c>
      <c r="H12" s="41" t="n"/>
      <c r="I12" s="41" t="n"/>
      <c r="J12" s="41" t="n"/>
      <c r="K12" s="13" t="n"/>
      <c r="L12" s="1" t="n"/>
      <c r="M12" s="1" t="n"/>
      <c r="N12" s="1" t="n"/>
      <c r="O12" s="1" t="n"/>
      <c r="P12" s="1" t="n"/>
      <c r="Q12" s="1" t="n"/>
      <c r="R12" s="1" t="n"/>
      <c r="S12" s="1" t="n"/>
      <c r="T12" s="1" t="n"/>
      <c r="U12" s="1" t="n"/>
      <c r="V12" s="1" t="n"/>
      <c r="W12" s="1" t="n"/>
      <c r="X12" s="1" t="n"/>
      <c r="Y12" s="1" t="n"/>
      <c r="Z12" s="1" t="n"/>
    </row>
    <row r="13" ht="21" customHeight="1">
      <c r="A13" s="1" t="n"/>
      <c r="B13" s="10" t="n"/>
      <c r="C13" s="42" t="inlineStr">
        <is>
          <t>Business name</t>
        </is>
      </c>
      <c r="D13" s="43" t="inlineStr">
        <is>
          <t>Brightside Exterior (example)</t>
        </is>
      </c>
      <c r="E13" s="13" t="n"/>
      <c r="F13" s="10" t="n"/>
      <c r="G13" s="42" t="inlineStr">
        <is>
          <t>Estimate number</t>
        </is>
      </c>
      <c r="H13" s="12" t="n"/>
      <c r="I13" s="12" t="n"/>
      <c r="J13" s="44" t="inlineStr">
        <is>
          <t>1001</t>
        </is>
      </c>
      <c r="K13" s="13" t="n"/>
      <c r="L13" s="1" t="n"/>
      <c r="M13" s="1" t="n"/>
      <c r="N13" s="1" t="n"/>
      <c r="O13" s="1" t="n"/>
      <c r="P13" s="1" t="n"/>
      <c r="Q13" s="1" t="n"/>
      <c r="R13" s="1" t="n"/>
      <c r="S13" s="1" t="n"/>
      <c r="T13" s="1" t="n"/>
      <c r="U13" s="1" t="n"/>
      <c r="V13" s="1" t="n"/>
      <c r="W13" s="1" t="n"/>
      <c r="X13" s="1" t="n"/>
      <c r="Y13" s="1" t="n"/>
      <c r="Z13" s="1" t="n"/>
    </row>
    <row r="14" ht="21" customHeight="1">
      <c r="A14" s="1" t="n"/>
      <c r="B14" s="10" t="n"/>
      <c r="C14" s="42" t="inlineStr">
        <is>
          <t>Phone</t>
        </is>
      </c>
      <c r="D14" s="43" t="inlineStr">
        <is>
          <t>555-0142 (example)</t>
        </is>
      </c>
      <c r="E14" s="13" t="n"/>
      <c r="F14" s="10" t="n"/>
      <c r="G14" s="42" t="inlineStr">
        <is>
          <t>Estimate date</t>
        </is>
      </c>
      <c r="H14" s="12" t="n"/>
      <c r="I14" s="12" t="n"/>
      <c r="J14" s="45" t="n">
        <v>46321</v>
      </c>
      <c r="K14" s="13" t="n"/>
      <c r="L14" s="1" t="n"/>
      <c r="M14" s="1" t="n"/>
      <c r="N14" s="1" t="n"/>
      <c r="O14" s="1" t="n"/>
      <c r="P14" s="1" t="n"/>
      <c r="Q14" s="1" t="n"/>
      <c r="R14" s="1" t="n"/>
      <c r="S14" s="1" t="n"/>
      <c r="T14" s="1" t="n"/>
      <c r="U14" s="1" t="n"/>
      <c r="V14" s="1" t="n"/>
      <c r="W14" s="1" t="n"/>
      <c r="X14" s="1" t="n"/>
      <c r="Y14" s="1" t="n"/>
      <c r="Z14" s="1" t="n"/>
    </row>
    <row r="15" ht="21" customHeight="1">
      <c r="A15" s="1" t="n"/>
      <c r="B15" s="10" t="n"/>
      <c r="C15" s="42" t="inlineStr">
        <is>
          <t>Email or website</t>
        </is>
      </c>
      <c r="D15" s="43" t="inlineStr">
        <is>
          <t>hello@example.com</t>
        </is>
      </c>
      <c r="E15" s="13" t="n"/>
      <c r="F15" s="10" t="n"/>
      <c r="G15" s="42" t="inlineStr">
        <is>
          <t>Good for (days)</t>
        </is>
      </c>
      <c r="H15" s="12" t="n"/>
      <c r="I15" s="12" t="n"/>
      <c r="J15" s="46" t="n">
        <v>30</v>
      </c>
      <c r="K15" s="13" t="n"/>
      <c r="L15" s="1" t="n"/>
      <c r="M15" s="1" t="n"/>
      <c r="N15" s="1" t="n"/>
      <c r="O15" s="1" t="n"/>
      <c r="P15" s="1" t="n"/>
      <c r="Q15" s="1" t="n"/>
      <c r="R15" s="1" t="n"/>
      <c r="S15" s="1" t="n"/>
      <c r="T15" s="1" t="n"/>
      <c r="U15" s="1" t="n"/>
      <c r="V15" s="1" t="n"/>
      <c r="W15" s="1" t="n"/>
      <c r="X15" s="1" t="n"/>
      <c r="Y15" s="1" t="n"/>
      <c r="Z15" s="1" t="n"/>
    </row>
    <row r="16" ht="21" customHeight="1">
      <c r="A16" s="1" t="n"/>
      <c r="B16" s="10" t="n"/>
      <c r="C16" s="42" t="inlineStr">
        <is>
          <t>License or ID</t>
        </is>
      </c>
      <c r="D16" s="43" t="inlineStr"/>
      <c r="E16" s="13" t="n"/>
      <c r="F16" s="10" t="n"/>
      <c r="G16" s="47" t="inlineStr">
        <is>
          <t>Good until</t>
        </is>
      </c>
      <c r="H16" s="48" t="n"/>
      <c r="I16" s="48" t="n"/>
      <c r="J16" s="49">
        <f>IF(OR($J$14="",$J$15=""),"",$J$14+$J$15)</f>
        <v/>
      </c>
      <c r="K16" s="13" t="n"/>
      <c r="L16" s="1" t="n"/>
      <c r="M16" s="1" t="n"/>
      <c r="N16" s="1" t="n"/>
      <c r="O16" s="1" t="n"/>
      <c r="P16" s="1" t="n"/>
      <c r="Q16" s="1" t="n"/>
      <c r="R16" s="1" t="n"/>
      <c r="S16" s="1" t="n"/>
      <c r="T16" s="1" t="n"/>
      <c r="U16" s="1" t="n"/>
      <c r="V16" s="1" t="n"/>
      <c r="W16" s="1" t="n"/>
      <c r="X16" s="1" t="n"/>
      <c r="Y16" s="1" t="n"/>
      <c r="Z16" s="1" t="n"/>
    </row>
    <row r="17" ht="21" customHeight="1">
      <c r="A17" s="1" t="n"/>
      <c r="B17" s="10" t="n"/>
      <c r="C17" s="40" t="inlineStr">
        <is>
          <t>FOR</t>
        </is>
      </c>
      <c r="D17" s="41" t="n"/>
      <c r="E17" s="13" t="n"/>
      <c r="F17" s="10" t="n"/>
      <c r="G17" s="40" t="inlineStr">
        <is>
          <t>DISCOUNT, TAX AND DEPOSIT</t>
        </is>
      </c>
      <c r="H17" s="41" t="n"/>
      <c r="I17" s="41" t="n"/>
      <c r="J17" s="41" t="n"/>
      <c r="K17" s="13" t="n"/>
      <c r="L17" s="1" t="n"/>
      <c r="M17" s="1" t="n"/>
      <c r="N17" s="1" t="n"/>
      <c r="O17" s="1" t="n"/>
      <c r="P17" s="1" t="n"/>
      <c r="Q17" s="1" t="n"/>
      <c r="R17" s="1" t="n"/>
      <c r="S17" s="1" t="n"/>
      <c r="T17" s="1" t="n"/>
      <c r="U17" s="1" t="n"/>
      <c r="V17" s="1" t="n"/>
      <c r="W17" s="1" t="n"/>
      <c r="X17" s="1" t="n"/>
      <c r="Y17" s="1" t="n"/>
      <c r="Z17" s="1" t="n"/>
    </row>
    <row r="18" ht="21" customHeight="1">
      <c r="A18" s="1" t="n"/>
      <c r="B18" s="10" t="n"/>
      <c r="C18" s="42" t="inlineStr">
        <is>
          <t>Customer</t>
        </is>
      </c>
      <c r="D18" s="43" t="inlineStr">
        <is>
          <t>Sample Customer</t>
        </is>
      </c>
      <c r="E18" s="13" t="n"/>
      <c r="F18" s="10" t="n"/>
      <c r="G18" s="42" t="inlineStr">
        <is>
          <t>Discount</t>
        </is>
      </c>
      <c r="H18" s="12" t="n"/>
      <c r="I18" s="12" t="n"/>
      <c r="J18" s="50" t="n">
        <v>0.1</v>
      </c>
      <c r="K18" s="13" t="n"/>
      <c r="L18" s="1" t="n"/>
      <c r="M18" s="1" t="n"/>
      <c r="N18" s="1" t="n"/>
      <c r="O18" s="1" t="n"/>
      <c r="P18" s="1" t="n"/>
      <c r="Q18" s="1" t="n"/>
      <c r="R18" s="1" t="n"/>
      <c r="S18" s="1" t="n"/>
      <c r="T18" s="1" t="n"/>
      <c r="U18" s="1" t="n"/>
      <c r="V18" s="1" t="n"/>
      <c r="W18" s="1" t="n"/>
      <c r="X18" s="1" t="n"/>
      <c r="Y18" s="1" t="n"/>
      <c r="Z18" s="1" t="n"/>
    </row>
    <row r="19" ht="21" customHeight="1">
      <c r="A19" s="1" t="n"/>
      <c r="B19" s="10" t="n"/>
      <c r="C19" s="42" t="inlineStr">
        <is>
          <t>Job address</t>
        </is>
      </c>
      <c r="D19" s="43" t="inlineStr">
        <is>
          <t>123 Example Street</t>
        </is>
      </c>
      <c r="E19" s="13" t="n"/>
      <c r="F19" s="10" t="n"/>
      <c r="G19" s="42" t="inlineStr">
        <is>
          <t>Sales tax rate</t>
        </is>
      </c>
      <c r="H19" s="12" t="n"/>
      <c r="I19" s="12" t="n"/>
      <c r="J19" s="51" t="n">
        <v>0.05</v>
      </c>
      <c r="K19" s="13" t="n"/>
      <c r="L19" s="1" t="n"/>
      <c r="M19" s="1" t="n"/>
      <c r="N19" s="1" t="n"/>
      <c r="O19" s="1" t="n"/>
      <c r="P19" s="1" t="n"/>
      <c r="Q19" s="1" t="n"/>
      <c r="R19" s="1" t="n"/>
      <c r="S19" s="1" t="n"/>
      <c r="T19" s="1" t="n"/>
      <c r="U19" s="1" t="n"/>
      <c r="V19" s="1" t="n"/>
      <c r="W19" s="1" t="n"/>
      <c r="X19" s="1" t="n"/>
      <c r="Y19" s="1" t="n"/>
      <c r="Z19" s="1" t="n"/>
    </row>
    <row r="20" ht="21" customHeight="1">
      <c r="A20" s="1" t="n"/>
      <c r="B20" s="10" t="n"/>
      <c r="C20" s="42" t="inlineStr">
        <is>
          <t>Customer contact</t>
        </is>
      </c>
      <c r="D20" s="43" t="inlineStr">
        <is>
          <t>555-0188 (example)</t>
        </is>
      </c>
      <c r="E20" s="13" t="n"/>
      <c r="F20" s="10" t="n"/>
      <c r="G20" s="42" t="inlineStr">
        <is>
          <t>Deposit to book</t>
        </is>
      </c>
      <c r="H20" s="12" t="n"/>
      <c r="I20" s="12" t="n"/>
      <c r="J20" s="50" t="n">
        <v>0.25</v>
      </c>
      <c r="K20" s="13" t="n"/>
      <c r="L20" s="1" t="n"/>
      <c r="M20" s="1" t="n"/>
      <c r="N20" s="1" t="n"/>
      <c r="O20" s="1" t="n"/>
      <c r="P20" s="1" t="n"/>
      <c r="Q20" s="1" t="n"/>
      <c r="R20" s="1" t="n"/>
      <c r="S20" s="1" t="n"/>
      <c r="T20" s="1" t="n"/>
      <c r="U20" s="1" t="n"/>
      <c r="V20" s="1" t="n"/>
      <c r="W20" s="1" t="n"/>
      <c r="X20" s="1" t="n"/>
      <c r="Y20" s="1" t="n"/>
      <c r="Z20" s="1" t="n"/>
    </row>
    <row r="21" ht="21" customHeight="1">
      <c r="A21" s="1" t="n"/>
      <c r="B21" s="15" t="n"/>
      <c r="C21" s="16" t="n"/>
      <c r="D21" s="16" t="n"/>
      <c r="E21" s="17" t="n"/>
      <c r="F21" s="15" t="n"/>
      <c r="G21" s="16" t="n"/>
      <c r="H21" s="16" t="n"/>
      <c r="I21" s="16" t="n"/>
      <c r="J21" s="16" t="n"/>
      <c r="K21" s="17" t="n"/>
      <c r="L21" s="1" t="n"/>
      <c r="M21" s="1" t="n"/>
      <c r="N21" s="1" t="n"/>
      <c r="O21" s="1" t="n"/>
      <c r="P21" s="1" t="n"/>
      <c r="Q21" s="1" t="n"/>
      <c r="R21" s="1" t="n"/>
      <c r="S21" s="1" t="n"/>
      <c r="T21" s="1" t="n"/>
      <c r="U21" s="1" t="n"/>
      <c r="V21" s="1" t="n"/>
      <c r="W21" s="1" t="n"/>
      <c r="X21" s="1" t="n"/>
      <c r="Y21" s="1" t="n"/>
      <c r="Z21" s="1" t="n"/>
    </row>
    <row r="22" ht="14"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 customHeight="1">
      <c r="A23" s="1" t="n"/>
      <c r="B23" s="7" t="n"/>
      <c r="C23" s="8" t="n"/>
      <c r="D23" s="8" t="n"/>
      <c r="E23" s="8" t="n"/>
      <c r="F23" s="8" t="n"/>
      <c r="G23" s="8" t="n"/>
      <c r="H23" s="8" t="n"/>
      <c r="I23" s="8" t="n"/>
      <c r="J23" s="8" t="n"/>
      <c r="K23" s="9" t="n"/>
      <c r="L23" s="1" t="n"/>
      <c r="M23" s="1" t="n"/>
      <c r="N23" s="1" t="n"/>
      <c r="O23" s="1" t="n"/>
      <c r="P23" s="1" t="n"/>
      <c r="Q23" s="1" t="n"/>
      <c r="R23" s="1" t="n"/>
      <c r="S23" s="1" t="n"/>
      <c r="T23" s="1" t="n"/>
      <c r="U23" s="1" t="n"/>
      <c r="V23" s="1" t="n"/>
      <c r="W23" s="1" t="n"/>
      <c r="X23" s="1" t="n"/>
      <c r="Y23" s="1" t="n"/>
      <c r="Z23" s="1" t="n"/>
    </row>
    <row r="24" ht="24" customHeight="1">
      <c r="A24" s="1" t="n"/>
      <c r="B24" s="10" t="n"/>
      <c r="C24" s="52" t="inlineStr">
        <is>
          <t>Work and prices</t>
        </is>
      </c>
      <c r="D24" s="12" t="n"/>
      <c r="E24" s="12" t="n"/>
      <c r="F24" s="12" t="n"/>
      <c r="G24" s="12" t="n"/>
      <c r="H24" s="12" t="n"/>
      <c r="I24" s="12" t="n"/>
      <c r="J24" s="12" t="n"/>
      <c r="K24" s="13" t="n"/>
      <c r="L24" s="1" t="n"/>
      <c r="M24" s="1" t="n"/>
      <c r="N24" s="1" t="n"/>
      <c r="O24" s="1" t="n"/>
      <c r="P24" s="1" t="n"/>
      <c r="Q24" s="1" t="n"/>
      <c r="R24" s="1" t="n"/>
      <c r="S24" s="1" t="n"/>
      <c r="T24" s="1" t="n"/>
      <c r="U24" s="1" t="n"/>
      <c r="V24" s="1" t="n"/>
      <c r="W24" s="1" t="n"/>
      <c r="X24" s="1" t="n"/>
      <c r="Y24" s="1" t="n"/>
      <c r="Z24" s="1" t="n"/>
    </row>
    <row r="25" ht="18" customHeight="1">
      <c r="A25" s="1" t="n"/>
      <c r="B25" s="10" t="n"/>
      <c r="C25" s="53" t="inlineStr">
        <is>
          <t>Quantity times rate. Blank rows are left out.</t>
        </is>
      </c>
      <c r="D25" s="12" t="n"/>
      <c r="E25" s="12" t="n"/>
      <c r="F25" s="12" t="n"/>
      <c r="G25" s="12" t="n"/>
      <c r="H25" s="12" t="n"/>
      <c r="I25" s="12" t="n"/>
      <c r="J25" s="12" t="n"/>
      <c r="K25" s="13" t="n"/>
      <c r="L25" s="1" t="n"/>
      <c r="M25" s="1" t="n"/>
      <c r="N25" s="1" t="n"/>
      <c r="O25" s="1" t="n"/>
      <c r="P25" s="1" t="n"/>
      <c r="Q25" s="1" t="n"/>
      <c r="R25" s="1" t="n"/>
      <c r="S25" s="1" t="n"/>
      <c r="T25" s="1" t="n"/>
      <c r="U25" s="1" t="n"/>
      <c r="V25" s="1" t="n"/>
      <c r="W25" s="1" t="n"/>
      <c r="X25" s="1" t="n"/>
      <c r="Y25" s="1" t="n"/>
      <c r="Z25" s="1" t="n"/>
    </row>
    <row r="26" ht="8" customHeight="1">
      <c r="A26" s="1" t="n"/>
      <c r="B26" s="10" t="n"/>
      <c r="C26" s="12" t="n"/>
      <c r="D26" s="12" t="n"/>
      <c r="E26" s="12" t="n"/>
      <c r="F26" s="12" t="n"/>
      <c r="G26" s="12" t="n"/>
      <c r="H26" s="12" t="n"/>
      <c r="I26" s="12" t="n"/>
      <c r="J26" s="12" t="n"/>
      <c r="K26" s="13" t="n"/>
      <c r="L26" s="1" t="n"/>
      <c r="M26" s="1" t="n"/>
      <c r="N26" s="1" t="n"/>
      <c r="O26" s="1" t="n"/>
      <c r="P26" s="1" t="n"/>
      <c r="Q26" s="1" t="n"/>
      <c r="R26" s="1" t="n"/>
      <c r="S26" s="1" t="n"/>
      <c r="T26" s="1" t="n"/>
      <c r="U26" s="1" t="n"/>
      <c r="V26" s="1" t="n"/>
      <c r="W26" s="1" t="n"/>
      <c r="X26" s="1" t="n"/>
      <c r="Y26" s="1" t="n"/>
      <c r="Z26" s="1" t="n"/>
    </row>
    <row r="27" ht="30" customHeight="1">
      <c r="A27" s="1" t="n"/>
      <c r="B27" s="10" t="n"/>
      <c r="C27" s="54" t="inlineStr">
        <is>
          <t>ITEM</t>
        </is>
      </c>
      <c r="D27" s="54" t="inlineStr">
        <is>
          <t>DESCRIPTION</t>
        </is>
      </c>
      <c r="E27" s="55" t="n"/>
      <c r="F27" s="55" t="n"/>
      <c r="G27" s="56" t="inlineStr">
        <is>
          <t>QTY</t>
        </is>
      </c>
      <c r="H27" s="54" t="inlineStr">
        <is>
          <t>UNIT</t>
        </is>
      </c>
      <c r="I27" s="56" t="inlineStr">
        <is>
          <t>RATE</t>
        </is>
      </c>
      <c r="J27" s="57" t="inlineStr">
        <is>
          <t>AMOUNT</t>
        </is>
      </c>
      <c r="K27" s="13" t="n"/>
      <c r="L27" s="1" t="n"/>
      <c r="M27" s="1" t="n"/>
      <c r="N27" s="1" t="n"/>
      <c r="O27" s="1" t="n"/>
      <c r="P27" s="1" t="n"/>
      <c r="Q27" s="1" t="n"/>
      <c r="R27" s="1" t="n"/>
      <c r="S27" s="1" t="n"/>
      <c r="T27" s="1" t="n"/>
      <c r="U27" s="1" t="n"/>
      <c r="V27" s="1" t="n"/>
      <c r="W27" s="1" t="n"/>
      <c r="X27" s="1" t="n"/>
      <c r="Y27" s="1" t="n"/>
      <c r="Z27" s="1" t="n"/>
    </row>
    <row r="28" ht="21" customHeight="1">
      <c r="A28" s="1" t="n"/>
      <c r="B28" s="10" t="n"/>
      <c r="C28" s="58" t="inlineStr">
        <is>
          <t>House wash</t>
        </is>
      </c>
      <c r="D28" s="58" t="inlineStr">
        <is>
          <t>2-story house, soft wash</t>
        </is>
      </c>
      <c r="E28" s="41" t="n"/>
      <c r="F28" s="41" t="n"/>
      <c r="G28" s="59" t="n">
        <v>1</v>
      </c>
      <c r="H28" s="58" t="inlineStr">
        <is>
          <t>job</t>
        </is>
      </c>
      <c r="I28" s="60" t="n">
        <v>355</v>
      </c>
      <c r="J28" s="61">
        <f>IF(OR($G28="",$I28=""),"",ROUND($G28*$I28,2))</f>
        <v/>
      </c>
      <c r="K28" s="13" t="n"/>
      <c r="L28" s="1" t="n"/>
      <c r="M28" s="1" t="n"/>
      <c r="N28" s="1" t="n"/>
      <c r="O28" s="1" t="n"/>
      <c r="P28" s="1" t="n"/>
      <c r="Q28" s="1" t="n"/>
      <c r="R28" s="1" t="n"/>
      <c r="S28" s="1" t="n"/>
      <c r="T28" s="1" t="n"/>
      <c r="U28" s="1" t="n"/>
      <c r="V28" s="1" t="n"/>
      <c r="W28" s="1" t="n"/>
      <c r="X28" s="1" t="n"/>
      <c r="Y28" s="1" t="n"/>
      <c r="Z28" s="1" t="n"/>
    </row>
    <row r="29" ht="21" customHeight="1">
      <c r="A29" s="1" t="n"/>
      <c r="B29" s="10" t="n"/>
      <c r="C29" s="58" t="inlineStr">
        <is>
          <t>Driveway</t>
        </is>
      </c>
      <c r="D29" s="58" t="inlineStr">
        <is>
          <t>2-car concrete, surface clean</t>
        </is>
      </c>
      <c r="E29" s="41" t="n"/>
      <c r="F29" s="41" t="n"/>
      <c r="G29" s="59" t="n">
        <v>1</v>
      </c>
      <c r="H29" s="58" t="inlineStr">
        <is>
          <t>job</t>
        </is>
      </c>
      <c r="I29" s="60" t="n">
        <v>200</v>
      </c>
      <c r="J29" s="61">
        <f>IF(OR($G29="",$I29=""),"",ROUND($G29*$I29,2))</f>
        <v/>
      </c>
      <c r="K29" s="13" t="n"/>
      <c r="L29" s="1" t="n"/>
      <c r="M29" s="1" t="n"/>
      <c r="N29" s="1" t="n"/>
      <c r="O29" s="1" t="n"/>
      <c r="P29" s="1" t="n"/>
      <c r="Q29" s="1" t="n"/>
      <c r="R29" s="1" t="n"/>
      <c r="S29" s="1" t="n"/>
      <c r="T29" s="1" t="n"/>
      <c r="U29" s="1" t="n"/>
      <c r="V29" s="1" t="n"/>
      <c r="W29" s="1" t="n"/>
      <c r="X29" s="1" t="n"/>
      <c r="Y29" s="1" t="n"/>
      <c r="Z29" s="1" t="n"/>
    </row>
    <row r="30" ht="21" customHeight="1">
      <c r="A30" s="1" t="n"/>
      <c r="B30" s="10" t="n"/>
      <c r="C30" s="58" t="inlineStr">
        <is>
          <t>Gutters</t>
        </is>
      </c>
      <c r="D30" s="58" t="inlineStr">
        <is>
          <t>Face brightening, front and back</t>
        </is>
      </c>
      <c r="E30" s="41" t="n"/>
      <c r="F30" s="41" t="n"/>
      <c r="G30" s="59" t="n">
        <v>1</v>
      </c>
      <c r="H30" s="58" t="inlineStr">
        <is>
          <t>job</t>
        </is>
      </c>
      <c r="I30" s="60" t="n">
        <v>205</v>
      </c>
      <c r="J30" s="61">
        <f>IF(OR($G30="",$I30=""),"",ROUND($G30*$I30,2))</f>
        <v/>
      </c>
      <c r="K30" s="13" t="n"/>
      <c r="L30" s="1" t="n"/>
      <c r="M30" s="1" t="n"/>
      <c r="N30" s="1" t="n"/>
      <c r="O30" s="1" t="n"/>
      <c r="P30" s="1" t="n"/>
      <c r="Q30" s="1" t="n"/>
      <c r="R30" s="1" t="n"/>
      <c r="S30" s="1" t="n"/>
      <c r="T30" s="1" t="n"/>
      <c r="U30" s="1" t="n"/>
      <c r="V30" s="1" t="n"/>
      <c r="W30" s="1" t="n"/>
      <c r="X30" s="1" t="n"/>
      <c r="Y30" s="1" t="n"/>
      <c r="Z30" s="1" t="n"/>
    </row>
    <row r="31" ht="21" customHeight="1">
      <c r="A31" s="1" t="n"/>
      <c r="B31" s="10" t="n"/>
      <c r="C31" s="58" t="n"/>
      <c r="D31" s="58" t="n"/>
      <c r="E31" s="41" t="n"/>
      <c r="F31" s="41" t="n"/>
      <c r="G31" s="59" t="n"/>
      <c r="H31" s="58" t="n"/>
      <c r="I31" s="60" t="n"/>
      <c r="J31" s="61">
        <f>IF(OR($G31="",$I31=""),"",ROUND($G31*$I31,2))</f>
        <v/>
      </c>
      <c r="K31" s="13" t="n"/>
      <c r="L31" s="1" t="n"/>
      <c r="M31" s="1" t="n"/>
      <c r="N31" s="1" t="n"/>
      <c r="O31" s="1" t="n"/>
      <c r="P31" s="1" t="n"/>
      <c r="Q31" s="1" t="n"/>
      <c r="R31" s="1" t="n"/>
      <c r="S31" s="1" t="n"/>
      <c r="T31" s="1" t="n"/>
      <c r="U31" s="1" t="n"/>
      <c r="V31" s="1" t="n"/>
      <c r="W31" s="1" t="n"/>
      <c r="X31" s="1" t="n"/>
      <c r="Y31" s="1" t="n"/>
      <c r="Z31" s="1" t="n"/>
    </row>
    <row r="32" ht="21" customHeight="1">
      <c r="A32" s="1" t="n"/>
      <c r="B32" s="10" t="n"/>
      <c r="C32" s="58" t="n"/>
      <c r="D32" s="58" t="n"/>
      <c r="E32" s="41" t="n"/>
      <c r="F32" s="41" t="n"/>
      <c r="G32" s="59" t="n"/>
      <c r="H32" s="58" t="n"/>
      <c r="I32" s="60" t="n"/>
      <c r="J32" s="61">
        <f>IF(OR($G32="",$I32=""),"",ROUND($G32*$I32,2))</f>
        <v/>
      </c>
      <c r="K32" s="13" t="n"/>
      <c r="L32" s="1" t="n"/>
      <c r="M32" s="1" t="n"/>
      <c r="N32" s="1" t="n"/>
      <c r="O32" s="1" t="n"/>
      <c r="P32" s="1" t="n"/>
      <c r="Q32" s="1" t="n"/>
      <c r="R32" s="1" t="n"/>
      <c r="S32" s="1" t="n"/>
      <c r="T32" s="1" t="n"/>
      <c r="U32" s="1" t="n"/>
      <c r="V32" s="1" t="n"/>
      <c r="W32" s="1" t="n"/>
      <c r="X32" s="1" t="n"/>
      <c r="Y32" s="1" t="n"/>
      <c r="Z32" s="1" t="n"/>
    </row>
    <row r="33" ht="21" customHeight="1">
      <c r="A33" s="1" t="n"/>
      <c r="B33" s="10" t="n"/>
      <c r="C33" s="58" t="n"/>
      <c r="D33" s="58" t="n"/>
      <c r="E33" s="41" t="n"/>
      <c r="F33" s="41" t="n"/>
      <c r="G33" s="59" t="n"/>
      <c r="H33" s="58" t="n"/>
      <c r="I33" s="60" t="n"/>
      <c r="J33" s="61">
        <f>IF(OR($G33="",$I33=""),"",ROUND($G33*$I33,2))</f>
        <v/>
      </c>
      <c r="K33" s="13" t="n"/>
      <c r="L33" s="1" t="n"/>
      <c r="M33" s="1" t="n"/>
      <c r="N33" s="1" t="n"/>
      <c r="O33" s="1" t="n"/>
      <c r="P33" s="1" t="n"/>
      <c r="Q33" s="1" t="n"/>
      <c r="R33" s="1" t="n"/>
      <c r="S33" s="1" t="n"/>
      <c r="T33" s="1" t="n"/>
      <c r="U33" s="1" t="n"/>
      <c r="V33" s="1" t="n"/>
      <c r="W33" s="1" t="n"/>
      <c r="X33" s="1" t="n"/>
      <c r="Y33" s="1" t="n"/>
      <c r="Z33" s="1" t="n"/>
    </row>
    <row r="34" ht="21" customHeight="1">
      <c r="A34" s="1" t="n"/>
      <c r="B34" s="10" t="n"/>
      <c r="C34" s="58" t="n"/>
      <c r="D34" s="58" t="n"/>
      <c r="E34" s="41" t="n"/>
      <c r="F34" s="41" t="n"/>
      <c r="G34" s="59" t="n"/>
      <c r="H34" s="58" t="n"/>
      <c r="I34" s="60" t="n"/>
      <c r="J34" s="61">
        <f>IF(OR($G34="",$I34=""),"",ROUND($G34*$I34,2))</f>
        <v/>
      </c>
      <c r="K34" s="13" t="n"/>
      <c r="L34" s="1" t="n"/>
      <c r="M34" s="1" t="n"/>
      <c r="N34" s="1" t="n"/>
      <c r="O34" s="1" t="n"/>
      <c r="P34" s="1" t="n"/>
      <c r="Q34" s="1" t="n"/>
      <c r="R34" s="1" t="n"/>
      <c r="S34" s="1" t="n"/>
      <c r="T34" s="1" t="n"/>
      <c r="U34" s="1" t="n"/>
      <c r="V34" s="1" t="n"/>
      <c r="W34" s="1" t="n"/>
      <c r="X34" s="1" t="n"/>
      <c r="Y34" s="1" t="n"/>
      <c r="Z34" s="1" t="n"/>
    </row>
    <row r="35" ht="21" customHeight="1">
      <c r="A35" s="1" t="n"/>
      <c r="B35" s="10" t="n"/>
      <c r="C35" s="58" t="n"/>
      <c r="D35" s="58" t="n"/>
      <c r="E35" s="41" t="n"/>
      <c r="F35" s="41" t="n"/>
      <c r="G35" s="59" t="n"/>
      <c r="H35" s="58" t="n"/>
      <c r="I35" s="60" t="n"/>
      <c r="J35" s="61">
        <f>IF(OR($G35="",$I35=""),"",ROUND($G35*$I35,2))</f>
        <v/>
      </c>
      <c r="K35" s="13" t="n"/>
      <c r="L35" s="1" t="n"/>
      <c r="M35" s="1" t="n"/>
      <c r="N35" s="1" t="n"/>
      <c r="O35" s="1" t="n"/>
      <c r="P35" s="1" t="n"/>
      <c r="Q35" s="1" t="n"/>
      <c r="R35" s="1" t="n"/>
      <c r="S35" s="1" t="n"/>
      <c r="T35" s="1" t="n"/>
      <c r="U35" s="1" t="n"/>
      <c r="V35" s="1" t="n"/>
      <c r="W35" s="1" t="n"/>
      <c r="X35" s="1" t="n"/>
      <c r="Y35" s="1" t="n"/>
      <c r="Z35" s="1" t="n"/>
    </row>
    <row r="36" ht="14" customHeight="1">
      <c r="A36" s="1" t="n"/>
      <c r="B36" s="15" t="n"/>
      <c r="C36" s="16" t="n"/>
      <c r="D36" s="16" t="n"/>
      <c r="E36" s="16" t="n"/>
      <c r="F36" s="16" t="n"/>
      <c r="G36" s="16" t="n"/>
      <c r="H36" s="16" t="n"/>
      <c r="I36" s="16" t="n"/>
      <c r="J36" s="16" t="n"/>
      <c r="K36" s="17" t="n"/>
      <c r="L36" s="1" t="n"/>
      <c r="M36" s="1" t="n"/>
      <c r="N36" s="1" t="n"/>
      <c r="O36" s="1" t="n"/>
      <c r="P36" s="1" t="n"/>
      <c r="Q36" s="1" t="n"/>
      <c r="R36" s="1" t="n"/>
      <c r="S36" s="1" t="n"/>
      <c r="T36" s="1" t="n"/>
      <c r="U36" s="1" t="n"/>
      <c r="V36" s="1" t="n"/>
      <c r="W36" s="1" t="n"/>
      <c r="X36" s="1" t="n"/>
      <c r="Y36" s="1" t="n"/>
      <c r="Z36" s="1" t="n"/>
    </row>
    <row r="37" ht="14"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21" customHeight="1">
      <c r="A38" s="1" t="n"/>
      <c r="B38" s="7" t="n"/>
      <c r="C38" s="8" t="n"/>
      <c r="D38" s="8" t="n"/>
      <c r="E38" s="9" t="n"/>
      <c r="F38" s="7" t="n"/>
      <c r="G38" s="8" t="n"/>
      <c r="H38" s="8" t="n"/>
      <c r="I38" s="8" t="n"/>
      <c r="J38" s="8" t="n"/>
      <c r="K38" s="9" t="n"/>
      <c r="L38" s="1" t="n"/>
      <c r="M38" s="1" t="n"/>
      <c r="N38" s="1" t="n"/>
      <c r="O38" s="1" t="n"/>
      <c r="P38" s="1" t="n"/>
      <c r="Q38" s="1" t="n"/>
      <c r="R38" s="1" t="n"/>
      <c r="S38" s="1" t="n"/>
      <c r="T38" s="1" t="n"/>
      <c r="U38" s="1" t="n"/>
      <c r="V38" s="1" t="n"/>
      <c r="W38" s="1" t="n"/>
      <c r="X38" s="1" t="n"/>
      <c r="Y38" s="1" t="n"/>
      <c r="Z38" s="1" t="n"/>
    </row>
    <row r="39" ht="21" customHeight="1">
      <c r="A39" s="1" t="n"/>
      <c r="B39" s="10" t="n"/>
      <c r="C39" s="40" t="inlineStr">
        <is>
          <t>TERMS AND ACCEPTANCE</t>
        </is>
      </c>
      <c r="D39" s="41" t="n"/>
      <c r="E39" s="13" t="n"/>
      <c r="F39" s="10" t="n"/>
      <c r="G39" s="47" t="inlineStr">
        <is>
          <t>Subtotal</t>
        </is>
      </c>
      <c r="H39" s="48" t="n"/>
      <c r="I39" s="48" t="n"/>
      <c r="J39" s="62">
        <f>IF(COUNT($J$28:$J$35)=0,"",SUM($J$28:$J$35))</f>
        <v/>
      </c>
      <c r="K39" s="13" t="n"/>
      <c r="L39" s="1" t="n"/>
      <c r="M39" s="1" t="n"/>
      <c r="N39" s="1" t="n"/>
      <c r="O39" s="1" t="n"/>
      <c r="P39" s="1" t="n"/>
      <c r="Q39" s="1" t="n"/>
      <c r="R39" s="1" t="n"/>
      <c r="S39" s="1" t="n"/>
      <c r="T39" s="1" t="n"/>
      <c r="U39" s="1" t="n"/>
      <c r="V39" s="1" t="n"/>
      <c r="W39" s="1" t="n"/>
      <c r="X39" s="1" t="n"/>
      <c r="Y39" s="1" t="n"/>
      <c r="Z39" s="1" t="n"/>
    </row>
    <row r="40" ht="21" customHeight="1">
      <c r="A40" s="1" t="n"/>
      <c r="B40" s="10" t="n"/>
      <c r="C40" s="42" t="inlineStr">
        <is>
          <t>Payment terms</t>
        </is>
      </c>
      <c r="D40" s="43" t="inlineStr">
        <is>
          <t>Balance due when the job is done.</t>
        </is>
      </c>
      <c r="E40" s="13" t="n"/>
      <c r="F40" s="10" t="n"/>
      <c r="G40" s="47">
        <f>IF(N($J$18)&gt;0,"Less discount ("&amp;ROUND($J$18*100,2)&amp;"%)","Less discount")</f>
        <v/>
      </c>
      <c r="H40" s="48" t="n"/>
      <c r="I40" s="48" t="n"/>
      <c r="J40" s="62">
        <f>IF($J$39="","",-ROUND($J$39*N($J$18),2))</f>
        <v/>
      </c>
      <c r="K40" s="13" t="n"/>
      <c r="L40" s="1" t="n"/>
      <c r="M40" s="1" t="n"/>
      <c r="N40" s="1" t="n"/>
      <c r="O40" s="1" t="n"/>
      <c r="P40" s="1" t="n"/>
      <c r="Q40" s="1" t="n"/>
      <c r="R40" s="1" t="n"/>
      <c r="S40" s="1" t="n"/>
      <c r="T40" s="1" t="n"/>
      <c r="U40" s="1" t="n"/>
      <c r="V40" s="1" t="n"/>
      <c r="W40" s="1" t="n"/>
      <c r="X40" s="1" t="n"/>
      <c r="Y40" s="1" t="n"/>
      <c r="Z40" s="1" t="n"/>
    </row>
    <row r="41" ht="21" customHeight="1">
      <c r="A41" s="1" t="n"/>
      <c r="B41" s="10" t="n"/>
      <c r="C41" s="63" t="inlineStr">
        <is>
          <t>To accept, sign below and return it with the deposit.</t>
        </is>
      </c>
      <c r="D41" s="12" t="n"/>
      <c r="E41" s="13" t="n"/>
      <c r="F41" s="10" t="n"/>
      <c r="G41" s="47">
        <f>IF(N($J$19)&gt;0,"Sales tax ("&amp;ROUND($J$19*100,2)&amp;"%)","Sales tax")</f>
        <v/>
      </c>
      <c r="H41" s="48" t="n"/>
      <c r="I41" s="48" t="n"/>
      <c r="J41" s="62">
        <f>IF($J$39="","",ROUND(($J$39+$J$40)*N($J$19),2))</f>
        <v/>
      </c>
      <c r="K41" s="13" t="n"/>
      <c r="L41" s="1" t="n"/>
      <c r="M41" s="1" t="n"/>
      <c r="N41" s="1" t="n"/>
      <c r="O41" s="1" t="n"/>
      <c r="P41" s="1" t="n"/>
      <c r="Q41" s="1" t="n"/>
      <c r="R41" s="1" t="n"/>
      <c r="S41" s="1" t="n"/>
      <c r="T41" s="1" t="n"/>
      <c r="U41" s="1" t="n"/>
      <c r="V41" s="1" t="n"/>
      <c r="W41" s="1" t="n"/>
      <c r="X41" s="1" t="n"/>
      <c r="Y41" s="1" t="n"/>
      <c r="Z41" s="1" t="n"/>
    </row>
    <row r="42" ht="21" customHeight="1">
      <c r="A42" s="1" t="n"/>
      <c r="B42" s="10" t="n"/>
      <c r="C42" s="42" t="inlineStr">
        <is>
          <t>Name (print)</t>
        </is>
      </c>
      <c r="D42" s="55" t="n"/>
      <c r="E42" s="13" t="n"/>
      <c r="F42" s="10" t="n"/>
      <c r="G42" s="64" t="inlineStr">
        <is>
          <t>Total</t>
        </is>
      </c>
      <c r="H42" s="65" t="n"/>
      <c r="I42" s="65" t="n"/>
      <c r="J42" s="66">
        <f>IF($J$39="","",$J$39+$J$40+$J$41)</f>
        <v/>
      </c>
      <c r="K42" s="13" t="n"/>
      <c r="L42" s="1" t="n"/>
      <c r="M42" s="1" t="n"/>
      <c r="N42" s="1" t="n"/>
      <c r="O42" s="1" t="n"/>
      <c r="P42" s="1" t="n"/>
      <c r="Q42" s="1" t="n"/>
      <c r="R42" s="1" t="n"/>
      <c r="S42" s="1" t="n"/>
      <c r="T42" s="1" t="n"/>
      <c r="U42" s="1" t="n"/>
      <c r="V42" s="1" t="n"/>
      <c r="W42" s="1" t="n"/>
      <c r="X42" s="1" t="n"/>
      <c r="Y42" s="1" t="n"/>
      <c r="Z42" s="1" t="n"/>
    </row>
    <row r="43" ht="21" customHeight="1">
      <c r="A43" s="1" t="n"/>
      <c r="B43" s="10" t="n"/>
      <c r="C43" s="42" t="inlineStr">
        <is>
          <t>Signature</t>
        </is>
      </c>
      <c r="D43" s="55" t="n"/>
      <c r="E43" s="13" t="n"/>
      <c r="F43" s="10" t="n"/>
      <c r="G43" s="47">
        <f>IF(N($J$20)&gt;0,"Deposit to book ("&amp;ROUND($J$20*100,2)&amp;"%)","Deposit to book")</f>
        <v/>
      </c>
      <c r="H43" s="48" t="n"/>
      <c r="I43" s="48" t="n"/>
      <c r="J43" s="62">
        <f>IF($J$42="","",ROUND($J$42*N($J$20),2))</f>
        <v/>
      </c>
      <c r="K43" s="13" t="n"/>
      <c r="L43" s="1" t="n"/>
      <c r="M43" s="1" t="n"/>
      <c r="N43" s="1" t="n"/>
      <c r="O43" s="1" t="n"/>
      <c r="P43" s="1" t="n"/>
      <c r="Q43" s="1" t="n"/>
      <c r="R43" s="1" t="n"/>
      <c r="S43" s="1" t="n"/>
      <c r="T43" s="1" t="n"/>
      <c r="U43" s="1" t="n"/>
      <c r="V43" s="1" t="n"/>
      <c r="W43" s="1" t="n"/>
      <c r="X43" s="1" t="n"/>
      <c r="Y43" s="1" t="n"/>
      <c r="Z43" s="1" t="n"/>
    </row>
    <row r="44" ht="21" customHeight="1">
      <c r="A44" s="1" t="n"/>
      <c r="B44" s="10" t="n"/>
      <c r="C44" s="42" t="inlineStr">
        <is>
          <t>Date</t>
        </is>
      </c>
      <c r="D44" s="55" t="n"/>
      <c r="E44" s="13" t="n"/>
      <c r="F44" s="10" t="n"/>
      <c r="G44" s="67" t="inlineStr">
        <is>
          <t>Balance due</t>
        </is>
      </c>
      <c r="H44" s="48" t="n"/>
      <c r="I44" s="48" t="n"/>
      <c r="J44" s="68">
        <f>IF($J$42="","",$J$42-$J$43)</f>
        <v/>
      </c>
      <c r="K44" s="13" t="n"/>
      <c r="L44" s="1" t="n"/>
      <c r="M44" s="1" t="n"/>
      <c r="N44" s="1" t="n"/>
      <c r="O44" s="1" t="n"/>
      <c r="P44" s="1" t="n"/>
      <c r="Q44" s="1" t="n"/>
      <c r="R44" s="1" t="n"/>
      <c r="S44" s="1" t="n"/>
      <c r="T44" s="1" t="n"/>
      <c r="U44" s="1" t="n"/>
      <c r="V44" s="1" t="n"/>
      <c r="W44" s="1" t="n"/>
      <c r="X44" s="1" t="n"/>
      <c r="Y44" s="1" t="n"/>
      <c r="Z44" s="1" t="n"/>
    </row>
    <row r="45" ht="21" customHeight="1">
      <c r="A45" s="1" t="n"/>
      <c r="B45" s="15" t="n"/>
      <c r="C45" s="16" t="n"/>
      <c r="D45" s="16" t="n"/>
      <c r="E45" s="17" t="n"/>
      <c r="F45" s="15" t="n"/>
      <c r="G45" s="16" t="n"/>
      <c r="H45" s="16" t="n"/>
      <c r="I45" s="16" t="n"/>
      <c r="J45" s="16" t="n"/>
      <c r="K45" s="17" t="n"/>
      <c r="L45" s="1" t="n"/>
      <c r="M45" s="1" t="n"/>
      <c r="N45" s="1" t="n"/>
      <c r="O45" s="1" t="n"/>
      <c r="P45" s="1" t="n"/>
      <c r="Q45" s="1" t="n"/>
      <c r="R45" s="1" t="n"/>
      <c r="S45" s="1" t="n"/>
      <c r="T45" s="1" t="n"/>
      <c r="U45" s="1" t="n"/>
      <c r="V45" s="1" t="n"/>
      <c r="W45" s="1" t="n"/>
      <c r="X45" s="1" t="n"/>
      <c r="Y45" s="1" t="n"/>
      <c r="Z45" s="1" t="n"/>
    </row>
    <row r="46" ht="24" customHeight="1">
      <c r="A46" s="1" t="n"/>
      <c r="B46" s="1" t="n"/>
      <c r="C46" s="69" t="inlineStr">
        <is>
          <t>Sample estimate form to adapt. Have a local attorney review your terms before you use them with clients. Amounts are estimates for the work listed.</t>
        </is>
      </c>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sheetData>
  <sheetProtection selectLockedCells="0" selectUnlockedCells="0" sheet="1" objects="1" insertRows="1" insertHyperlinks="1" autoFilter="1" scenarios="1" formatColumns="0" deleteColumns="1" insertColumns="1" pivotTables="1" deleteRows="1" formatCells="0" formatRows="0" sort="1"/>
  <mergeCells count="19">
    <mergeCell ref="C6:D6"/>
    <mergeCell ref="C24:J24"/>
    <mergeCell ref="B4:H4"/>
    <mergeCell ref="C25:J25"/>
    <mergeCell ref="C41:D41"/>
    <mergeCell ref="G12:J12"/>
    <mergeCell ref="I4:K4"/>
    <mergeCell ref="C12:D12"/>
    <mergeCell ref="G17:J17"/>
    <mergeCell ref="G8:J8"/>
    <mergeCell ref="C46:J46"/>
    <mergeCell ref="B2:H2"/>
    <mergeCell ref="G7:J7"/>
    <mergeCell ref="C17:D17"/>
    <mergeCell ref="C39:D39"/>
    <mergeCell ref="C8:D8"/>
    <mergeCell ref="G6:J6"/>
    <mergeCell ref="I2:K2"/>
    <mergeCell ref="C7:D7"/>
  </mergeCells>
  <dataValidations count="19">
    <dataValidation sqref="D13" showDropDown="0" showInputMessage="1" showErrorMessage="1" allowBlank="1" errorTitle="Check this cell" error="Up to 60 characters." promptTitle="Business name" prompt="Your business name as customers know it, for example Brightside Exterior Cleaning." type="textLength" errorStyle="stop" operator="between">
      <formula1>0</formula1>
      <formula2>60</formula2>
    </dataValidation>
    <dataValidation sqref="D14" showDropDown="0" showInputMessage="1" showErrorMessage="1" allowBlank="1" errorTitle="Check this cell" error="Up to 40 characters." promptTitle="Phone" prompt="The number customers call or text." type="textLength" errorStyle="stop" operator="between">
      <formula1>0</formula1>
      <formula2>40</formula2>
    </dataValidation>
    <dataValidation sqref="D15" showDropDown="0" showInputMessage="1" showErrorMessage="1" allowBlank="1" errorTitle="Check this cell" error="Up to 60 characters." promptTitle="Email or website" prompt="Where the customer replies." type="textLength" errorStyle="stop" operator="between">
      <formula1>0</formula1>
      <formula2>60</formula2>
    </dataValidation>
    <dataValidation sqref="D16" showDropDown="0" showInputMessage="1" showErrorMessage="1" allowBlank="1" errorTitle="Check this cell" error="Up to 40 characters." promptTitle="License or ID" prompt="A license, registration or insurance number if you show one. Leave blank if not." type="textLength" errorStyle="stop" operator="between">
      <formula1>0</formula1>
      <formula2>40</formula2>
    </dataValidation>
    <dataValidation sqref="D18" showDropDown="0" showInputMessage="1" showErrorMessage="1" allowBlank="1" errorTitle="Check this cell" error="Up to 60 characters." promptTitle="Customer" prompt="The customer's name." type="textLength" errorStyle="stop" operator="between">
      <formula1>0</formula1>
      <formula2>60</formula2>
    </dataValidation>
    <dataValidation sqref="D19" showDropDown="0" showInputMessage="1" showErrorMessage="1" allowBlank="1" errorTitle="Check this cell" error="Up to 80 characters." promptTitle="Job address" prompt="Where the work happens." type="textLength" errorStyle="stop" operator="between">
      <formula1>0</formula1>
      <formula2>80</formula2>
    </dataValidation>
    <dataValidation sqref="D20" showDropDown="0" showInputMessage="1" showErrorMessage="1" allowBlank="1" errorTitle="Check this cell" error="Up to 60 characters." promptTitle="Customer phone or email" prompt="How you reach the customer. Optional." type="textLength" errorStyle="stop" operator="between">
      <formula1>0</formula1>
      <formula2>60</formula2>
    </dataValidation>
    <dataValidation sqref="J13" showDropDown="0" showInputMessage="1" showErrorMessage="1" allowBlank="1" errorTitle="Check this cell" error="Up to 20 characters." promptTitle="Estimate number" prompt="Your own number for this estimate, for example 1001." type="textLength" errorStyle="stop" operator="between">
      <formula1>0</formula1>
      <formula2>20</formula2>
    </dataValidation>
    <dataValidation sqref="J14" showDropDown="0" showInputMessage="1" showErrorMessage="1" allowBlank="1" errorTitle="Check this cell" error="Type a real date between 2000 and 2100, for example 10/26/2026." promptTitle="Estimate date" prompt="The date you send it, for example 10/26/2026." type="date" errorStyle="stop" operator="between">
      <formula1>DATE(2000,1,1)</formula1>
      <formula2>DATE(2100,12,31)</formula2>
    </dataValidation>
    <dataValidation sqref="J15" showDropDown="0" showInputMessage="1" showErrorMessage="1" allowBlank="1" errorTitle="Check this cell" error="Type a whole number of days from 0 to 365." promptTitle="Good for (days)" prompt="How many days the prices hold. A whole number, for example 30." type="whole" errorStyle="stop" operator="between">
      <formula1>0</formula1>
      <formula2>365</formula2>
    </dataValidation>
    <dataValidation sqref="J18" showDropDown="0" showInputMessage="1" showErrorMessage="1" allowBlank="1" errorTitle="Check this cell" error="Type a percent from 0% to 100%." promptTitle="Discount" prompt="Off the subtotal. Type a percent, for example 10%. 0% or blank for none." type="decimal" errorStyle="stop" operator="between">
      <formula1>0</formula1>
      <formula2>1</formula2>
    </dataValidation>
    <dataValidation sqref="J19" showDropDown="0" showInputMessage="1" showErrorMessage="1" allowBlank="1" errorTitle="Check this cell" error="Type a percent from 0% to 50%." promptTitle="Sales tax rate" prompt="Charged on the total after the discount. Type a percent, for example 6.25%. 0% or blank if you don't charge tax on this job." type="decimal" errorStyle="stop" operator="between">
      <formula1>0</formula1>
      <formula2>0.5</formula2>
    </dataValidation>
    <dataValidation sqref="J20" showDropDown="0" showInputMessage="1" showErrorMessage="1" allowBlank="1" errorTitle="Check this cell" error="Type a percent from 0% to 100%." promptTitle="Deposit to book" prompt="Share of the total paid up front. Type a percent, for example 25%. 0% or blank for no deposit." type="decimal" errorStyle="stop" operator="between">
      <formula1>0</formula1>
      <formula2>1</formula2>
    </dataValidation>
    <dataValidation sqref="C28:C35" showDropDown="0" showInputMessage="1" showErrorMessage="1" allowBlank="1" errorTitle="Check this cell" error="Up to 40 characters." promptTitle="Item" prompt="A short name, for example Driveway." type="textLength" errorStyle="stop" operator="between">
      <formula1>0</formula1>
      <formula2>40</formula2>
    </dataValidation>
    <dataValidation sqref="D28:D35" showDropDown="0" showInputMessage="1" showErrorMessage="1" allowBlank="1" errorTitle="Check this cell" error="Up to 80 characters." promptTitle="Description" prompt="What the work covers, for example 2-car concrete driveway, surface clean." type="textLength" errorStyle="stop" operator="between">
      <formula1>0</formula1>
      <formula2>80</formula2>
    </dataValidation>
    <dataValidation sqref="G28:G35" showDropDown="0" showInputMessage="1" showErrorMessage="1" allowBlank="1" errorTitle="Check this cell" error="Type a quantity of 0 or more." promptTitle="Qty" prompt="How many: 1 job, 3 hours, 450 sq ft. A number of 0 or more." type="decimal" errorStyle="stop" operator="between">
      <formula1>0</formula1>
      <formula2>1000000</formula2>
    </dataValidation>
    <dataValidation sqref="H28:H35" showDropDown="0" showInputMessage="1" showErrorMessage="1" allowBlank="1" errorTitle="Check this cell" error="Up to 12 characters." promptTitle="Unit" prompt="What one is, for example job, hour, visit or sq ft. Optional." type="textLength" errorStyle="stop" operator="between">
      <formula1>0</formula1>
      <formula2>12</formula2>
    </dataValidation>
    <dataValidation sqref="I28:I35" showDropDown="0" showInputMessage="1" showErrorMessage="1" allowBlank="1" errorTitle="Check this cell" error="Type a price in dollars." promptTitle="Rate" prompt="Price for one unit, in dollars, for example 200. A credit can be negative." type="decimal" errorStyle="stop" operator="between">
      <formula1>-1000000</formula1>
      <formula2>1000000</formula2>
    </dataValidation>
    <dataValidation sqref="D40" showDropDown="0" showInputMessage="1" showErrorMessage="1" allowBlank="1" errorTitle="Check this cell" error="Up to 60 characters." promptTitle="Payment terms" prompt="One short line, for example Balance due when the job is done." type="textLength" errorStyle="stop" operator="between">
      <formula1>0</formula1>
      <formula2>60</formula2>
    </dataValidation>
  </dataValidations>
  <printOptions horizontalCentered="1"/>
  <pageMargins left="0.5" right="0.5" top="0.7" bottom="0.7" header="0.3" footer="0.3"/>
  <pageSetup orientation="portrait" paperSize="1" fitToHeight="1" fitToWidth="1"/>
  <headerFooter>
    <oddHeader>&amp;L&amp;"Arial"&amp;8 ProofNotFluff&amp;R&amp;"Arial"&amp;8 Job Estimate Template</oddHeader>
    <oddFooter>&amp;L&amp;"Arial"&amp;8 Sample form. Estimates only, not legal or tax advice. See the Terms tab.&amp;R&amp;"Arial"&amp;8 Page &amp;P of &amp;N</oddFooter>
    <evenHeader/>
    <evenFooter/>
    <firstHeader/>
    <firstFooter/>
  </headerFooter>
</worksheet>
</file>

<file path=xl/worksheets/sheet3.xml><?xml version="1.0" encoding="utf-8"?>
<worksheet xmlns="http://schemas.openxmlformats.org/spreadsheetml/2006/main">
  <sheetPr>
    <tabColor rgb="005C6370"/>
    <outlinePr summaryBelow="1" summaryRight="1"/>
    <pageSetUpPr fitToPage="1"/>
  </sheetPr>
  <dimension ref="A1:Z67"/>
  <sheetViews>
    <sheetView showGridLines="0" zoomScale="100" workbookViewId="0">
      <selection activeCell="A1" sqref="A1"/>
    </sheetView>
  </sheetViews>
  <sheetFormatPr baseColWidth="8" defaultRowHeight="15"/>
  <cols>
    <col width="3" customWidth="1" min="1" max="1"/>
    <col width="2" customWidth="1" min="2" max="2"/>
    <col width="8" customWidth="1" min="3" max="3"/>
    <col width="62" customWidth="1" min="4" max="4"/>
    <col width="18" customWidth="1" min="5" max="5"/>
    <col width="2" customWidth="1" min="6" max="6"/>
    <col width="3" customWidth="1" min="7" max="7"/>
  </cols>
  <sheetData>
    <row r="1" ht="14"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32" customHeight="1">
      <c r="A2" s="1" t="n"/>
      <c r="B2" s="2" t="inlineStr">
        <is>
          <t>Terms of Use</t>
        </is>
      </c>
      <c r="C2" s="1" t="n"/>
      <c r="D2" s="1" t="n"/>
      <c r="E2" s="3" t="inlineStr">
        <is>
          <t>ProofNotFluff</t>
        </is>
      </c>
      <c r="F2" s="1" t="n"/>
      <c r="G2" s="1" t="n"/>
      <c r="H2" s="1" t="n"/>
      <c r="I2" s="1" t="n"/>
      <c r="J2" s="1" t="n"/>
      <c r="K2" s="1" t="n"/>
      <c r="L2" s="1" t="n"/>
      <c r="M2" s="1" t="n"/>
      <c r="N2" s="1" t="n"/>
      <c r="O2" s="1" t="n"/>
      <c r="P2" s="1" t="n"/>
      <c r="Q2" s="1" t="n"/>
      <c r="R2" s="1" t="n"/>
      <c r="S2" s="1" t="n"/>
      <c r="T2" s="1" t="n"/>
      <c r="U2" s="1" t="n"/>
      <c r="V2" s="1" t="n"/>
      <c r="W2" s="1" t="n"/>
      <c r="X2" s="1" t="n"/>
      <c r="Y2" s="1" t="n"/>
      <c r="Z2" s="1" t="n"/>
    </row>
    <row r="3" ht="12" customHeight="1">
      <c r="A3" s="1" t="n"/>
      <c r="B3" s="4" t="inlineStr">
        <is>
          <r>
            <rPr>
              <rFont val="Arial"/>
              <b val="1"/>
              <color rgb="00C8502F"/>
              <sz val="9"/>
            </rPr>
            <t>▬▬</t>
          </r>
          <r>
            <rPr>
              <rFont val="Arial"/>
              <sz val="9"/>
            </rPr>
            <t> </t>
          </r>
          <r>
            <rPr>
              <rFont val="Arial"/>
              <b val="1"/>
              <color rgb="002E6B66"/>
              <sz val="9"/>
            </rPr>
            <t>▬▬</t>
          </r>
          <r>
            <rPr>
              <rFont val="Arial"/>
              <sz val="9"/>
            </rPr>
            <t> </t>
          </r>
          <r>
            <rPr>
              <rFont val="Arial"/>
              <b val="1"/>
              <color rgb="006B4FA0"/>
              <sz val="9"/>
            </rPr>
            <t>▬▬</t>
          </r>
          <r>
            <rPr>
              <rFont val="Arial"/>
              <sz val="9"/>
            </rPr>
            <t> </t>
          </r>
          <r>
            <rPr>
              <rFont val="Arial"/>
              <b val="1"/>
              <color rgb="002F5F9E"/>
              <sz val="9"/>
            </rPr>
            <t>▬▬</t>
          </r>
          <r>
            <rPr>
              <rFont val="Arial"/>
              <sz val="9"/>
            </rPr>
            <t> </t>
          </r>
          <r>
            <rPr>
              <rFont val="Arial"/>
              <b val="1"/>
              <color rgb="008A6A1F"/>
              <sz val="9"/>
            </rPr>
            <t>▬▬</t>
          </r>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0" customHeight="1">
      <c r="A4" s="1" t="n"/>
      <c r="B4" s="5" t="inlineStr">
        <is>
          <t>Job Estimate Template, version 1. Read this before you rely on a number.</t>
        </is>
      </c>
      <c r="C4" s="1" t="n"/>
      <c r="D4" s="1" t="n"/>
      <c r="E4" s="6" t="inlineStr">
        <is>
          <t>Version 1, Oct 26, 2026</t>
        </is>
      </c>
      <c r="F4" s="1" t="n"/>
      <c r="G4" s="1" t="n"/>
      <c r="H4" s="1" t="n"/>
      <c r="I4" s="1" t="n"/>
      <c r="J4" s="1" t="n"/>
      <c r="K4" s="1" t="n"/>
      <c r="L4" s="1" t="n"/>
      <c r="M4" s="1" t="n"/>
      <c r="N4" s="1" t="n"/>
      <c r="O4" s="1" t="n"/>
      <c r="P4" s="1" t="n"/>
      <c r="Q4" s="1" t="n"/>
      <c r="R4" s="1" t="n"/>
      <c r="S4" s="1" t="n"/>
      <c r="T4" s="1" t="n"/>
      <c r="U4" s="1" t="n"/>
      <c r="V4" s="1" t="n"/>
      <c r="W4" s="1" t="n"/>
      <c r="X4" s="1" t="n"/>
      <c r="Y4" s="1" t="n"/>
      <c r="Z4" s="1" t="n"/>
    </row>
    <row r="5" ht="14" customHeight="1">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 customHeight="1">
      <c r="A6" s="1" t="n"/>
      <c r="B6" s="7" t="n"/>
      <c r="C6" s="8" t="n"/>
      <c r="D6" s="8" t="n"/>
      <c r="E6" s="8" t="n"/>
      <c r="F6" s="9" t="n"/>
      <c r="G6" s="1" t="n"/>
      <c r="H6" s="1" t="n"/>
      <c r="I6" s="1" t="n"/>
      <c r="J6" s="1" t="n"/>
      <c r="K6" s="1" t="n"/>
      <c r="L6" s="1" t="n"/>
      <c r="M6" s="1" t="n"/>
      <c r="N6" s="1" t="n"/>
      <c r="O6" s="1" t="n"/>
      <c r="P6" s="1" t="n"/>
      <c r="Q6" s="1" t="n"/>
      <c r="R6" s="1" t="n"/>
      <c r="S6" s="1" t="n"/>
      <c r="T6" s="1" t="n"/>
      <c r="U6" s="1" t="n"/>
      <c r="V6" s="1" t="n"/>
      <c r="W6" s="1" t="n"/>
      <c r="X6" s="1" t="n"/>
      <c r="Y6" s="1" t="n"/>
      <c r="Z6" s="1" t="n"/>
    </row>
    <row r="7" ht="24" customHeight="1">
      <c r="A7" s="1" t="n"/>
      <c r="B7" s="10" t="n"/>
      <c r="C7" s="11" t="inlineStr">
        <is>
          <t>Free calculators to price each line</t>
        </is>
      </c>
      <c r="D7" s="12" t="n"/>
      <c r="E7" s="12" t="n"/>
      <c r="F7" s="13" t="n"/>
      <c r="G7" s="1" t="n"/>
      <c r="H7" s="1" t="n"/>
      <c r="I7" s="1" t="n"/>
      <c r="J7" s="1" t="n"/>
      <c r="K7" s="1" t="n"/>
      <c r="L7" s="1" t="n"/>
      <c r="M7" s="1" t="n"/>
      <c r="N7" s="1" t="n"/>
      <c r="O7" s="1" t="n"/>
      <c r="P7" s="1" t="n"/>
      <c r="Q7" s="1" t="n"/>
      <c r="R7" s="1" t="n"/>
      <c r="S7" s="1" t="n"/>
      <c r="T7" s="1" t="n"/>
      <c r="U7" s="1" t="n"/>
      <c r="V7" s="1" t="n"/>
      <c r="W7" s="1" t="n"/>
      <c r="X7" s="1" t="n"/>
      <c r="Y7" s="1" t="n"/>
      <c r="Z7" s="1" t="n"/>
    </row>
    <row r="8" ht="24.8" customHeight="1">
      <c r="A8" s="1" t="n"/>
      <c r="B8" s="10" t="n"/>
      <c r="C8" s="70" t="inlineStr">
        <is>
          <t>Pressure washing price calculator</t>
        </is>
      </c>
      <c r="D8" s="12" t="n"/>
      <c r="E8" s="12" t="n"/>
      <c r="F8" s="13" t="n"/>
      <c r="G8" s="1" t="n"/>
      <c r="H8" s="1" t="n"/>
      <c r="I8" s="1" t="n"/>
      <c r="J8" s="1" t="n"/>
      <c r="K8" s="1" t="n"/>
      <c r="L8" s="1" t="n"/>
      <c r="M8" s="1" t="n"/>
      <c r="N8" s="1" t="n"/>
      <c r="O8" s="1" t="n"/>
      <c r="P8" s="1" t="n"/>
      <c r="Q8" s="1" t="n"/>
      <c r="R8" s="1" t="n"/>
      <c r="S8" s="1" t="n"/>
      <c r="T8" s="1" t="n"/>
      <c r="U8" s="1" t="n"/>
      <c r="V8" s="1" t="n"/>
      <c r="W8" s="1" t="n"/>
      <c r="X8" s="1" t="n"/>
      <c r="Y8" s="1" t="n"/>
      <c r="Z8" s="1" t="n"/>
    </row>
    <row r="9" ht="24.8" customHeight="1">
      <c r="A9" s="1" t="n"/>
      <c r="B9" s="10" t="n"/>
      <c r="C9" s="70" t="inlineStr">
        <is>
          <t>House cleaning price calculator</t>
        </is>
      </c>
      <c r="D9" s="12" t="n"/>
      <c r="E9" s="12" t="n"/>
      <c r="F9" s="13" t="n"/>
      <c r="G9" s="1" t="n"/>
      <c r="H9" s="1" t="n"/>
      <c r="I9" s="1" t="n"/>
      <c r="J9" s="1" t="n"/>
      <c r="K9" s="1" t="n"/>
      <c r="L9" s="1" t="n"/>
      <c r="M9" s="1" t="n"/>
      <c r="N9" s="1" t="n"/>
      <c r="O9" s="1" t="n"/>
      <c r="P9" s="1" t="n"/>
      <c r="Q9" s="1" t="n"/>
      <c r="R9" s="1" t="n"/>
      <c r="S9" s="1" t="n"/>
      <c r="T9" s="1" t="n"/>
      <c r="U9" s="1" t="n"/>
      <c r="V9" s="1" t="n"/>
      <c r="W9" s="1" t="n"/>
      <c r="X9" s="1" t="n"/>
      <c r="Y9" s="1" t="n"/>
      <c r="Z9" s="1" t="n"/>
    </row>
    <row r="10" ht="24.8" customHeight="1">
      <c r="A10" s="1" t="n"/>
      <c r="B10" s="10" t="n"/>
      <c r="C10" s="70" t="inlineStr">
        <is>
          <t>Lawn care price calculator</t>
        </is>
      </c>
      <c r="D10" s="12" t="n"/>
      <c r="E10" s="12" t="n"/>
      <c r="F10" s="13" t="n"/>
      <c r="G10" s="1" t="n"/>
      <c r="H10" s="1" t="n"/>
      <c r="I10" s="1" t="n"/>
      <c r="J10" s="1" t="n"/>
      <c r="K10" s="1" t="n"/>
      <c r="L10" s="1" t="n"/>
      <c r="M10" s="1" t="n"/>
      <c r="N10" s="1" t="n"/>
      <c r="O10" s="1" t="n"/>
      <c r="P10" s="1" t="n"/>
      <c r="Q10" s="1" t="n"/>
      <c r="R10" s="1" t="n"/>
      <c r="S10" s="1" t="n"/>
      <c r="T10" s="1" t="n"/>
      <c r="U10" s="1" t="n"/>
      <c r="V10" s="1" t="n"/>
      <c r="W10" s="1" t="n"/>
      <c r="X10" s="1" t="n"/>
      <c r="Y10" s="1" t="n"/>
      <c r="Z10" s="1" t="n"/>
    </row>
    <row r="11" ht="24.8" customHeight="1">
      <c r="A11" s="1" t="n"/>
      <c r="B11" s="10" t="n"/>
      <c r="C11" s="70" t="inlineStr">
        <is>
          <t>Price increase calculator</t>
        </is>
      </c>
      <c r="D11" s="12" t="n"/>
      <c r="E11" s="12" t="n"/>
      <c r="F11" s="13" t="n"/>
      <c r="G11" s="1" t="n"/>
      <c r="H11" s="1" t="n"/>
      <c r="I11" s="1" t="n"/>
      <c r="J11" s="1" t="n"/>
      <c r="K11" s="1" t="n"/>
      <c r="L11" s="1" t="n"/>
      <c r="M11" s="1" t="n"/>
      <c r="N11" s="1" t="n"/>
      <c r="O11" s="1" t="n"/>
      <c r="P11" s="1" t="n"/>
      <c r="Q11" s="1" t="n"/>
      <c r="R11" s="1" t="n"/>
      <c r="S11" s="1" t="n"/>
      <c r="T11" s="1" t="n"/>
      <c r="U11" s="1" t="n"/>
      <c r="V11" s="1" t="n"/>
      <c r="W11" s="1" t="n"/>
      <c r="X11" s="1" t="n"/>
      <c r="Y11" s="1" t="n"/>
      <c r="Z11" s="1" t="n"/>
    </row>
    <row r="12" ht="12" customHeight="1">
      <c r="A12" s="1" t="n"/>
      <c r="B12" s="15" t="n"/>
      <c r="C12" s="16" t="n"/>
      <c r="D12" s="16" t="n"/>
      <c r="E12" s="16" t="n"/>
      <c r="F12" s="17"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 customHeight="1">
      <c r="A14" s="1" t="n"/>
      <c r="B14" s="7"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c r="Y14" s="1" t="n"/>
      <c r="Z14" s="1" t="n"/>
    </row>
    <row r="15" ht="24" customHeight="1">
      <c r="A15" s="1" t="n"/>
      <c r="B15" s="10" t="n"/>
      <c r="C15" s="11" t="inlineStr">
        <is>
          <t>Terms of Use and disclaimer</t>
        </is>
      </c>
      <c r="D15" s="12" t="n"/>
      <c r="E15" s="12" t="n"/>
      <c r="F15" s="13" t="n"/>
      <c r="G15" s="1" t="n"/>
      <c r="H15" s="1" t="n"/>
      <c r="I15" s="1" t="n"/>
      <c r="J15" s="1" t="n"/>
      <c r="K15" s="1" t="n"/>
      <c r="L15" s="1" t="n"/>
      <c r="M15" s="1" t="n"/>
      <c r="N15" s="1" t="n"/>
      <c r="O15" s="1" t="n"/>
      <c r="P15" s="1" t="n"/>
      <c r="Q15" s="1" t="n"/>
      <c r="R15" s="1" t="n"/>
      <c r="S15" s="1" t="n"/>
      <c r="T15" s="1" t="n"/>
      <c r="U15" s="1" t="n"/>
      <c r="V15" s="1" t="n"/>
      <c r="W15" s="1" t="n"/>
      <c r="X15" s="1" t="n"/>
      <c r="Y15" s="1" t="n"/>
      <c r="Z15" s="1" t="n"/>
    </row>
    <row r="16" ht="50.4" customHeight="1">
      <c r="A16" s="1" t="n"/>
      <c r="B16" s="10" t="n"/>
      <c r="C16" s="14" t="inlineStr">
        <is>
          <r>
            <rPr>
              <rFont val="Arial"/>
              <b val="1"/>
              <color rgb="001D2433"/>
              <sz val="10"/>
            </rPr>
            <t xml:space="preserve">License. </t>
          </r>
          <r>
            <rPr>
              <rFont val="Arial"/>
              <color rgb="001D2433"/>
              <sz val="10"/>
            </rPr>
            <t>This free template is for your own use or one business you own. You may edit it, print it and send estimates made with it to your own customers. You may not resell, upload or redistribute the template, in original or edited form, or use it to make a competing product.</t>
          </r>
        </is>
      </c>
      <c r="D16" s="12" t="n"/>
      <c r="E16" s="12" t="n"/>
      <c r="F16" s="13" t="n"/>
      <c r="G16" s="1" t="n"/>
      <c r="H16" s="1" t="n"/>
      <c r="I16" s="1" t="n"/>
      <c r="J16" s="1" t="n"/>
      <c r="K16" s="1" t="n"/>
      <c r="L16" s="1" t="n"/>
      <c r="M16" s="1" t="n"/>
      <c r="N16" s="1" t="n"/>
      <c r="O16" s="1" t="n"/>
      <c r="P16" s="1" t="n"/>
      <c r="Q16" s="1" t="n"/>
      <c r="R16" s="1" t="n"/>
      <c r="S16" s="1" t="n"/>
      <c r="T16" s="1" t="n"/>
      <c r="U16" s="1" t="n"/>
      <c r="V16" s="1" t="n"/>
      <c r="W16" s="1" t="n"/>
      <c r="X16" s="1" t="n"/>
      <c r="Y16" s="1" t="n"/>
      <c r="Z16" s="1" t="n"/>
    </row>
    <row r="17" ht="37.6" customHeight="1">
      <c r="A17" s="1" t="n"/>
      <c r="B17" s="10" t="n"/>
      <c r="C17" s="14" t="inlineStr">
        <is>
          <r>
            <rPr>
              <rFont val="Arial"/>
              <b val="1"/>
              <color rgb="001D2433"/>
              <sz val="10"/>
            </rPr>
            <t xml:space="preserve">Ownership. </t>
          </r>
          <r>
            <rPr>
              <rFont val="Arial"/>
              <color rgb="001D2433"/>
              <sz val="10"/>
            </rPr>
            <t>The design, text and formulas belong to ProofNotFluff. The estimates you fill in and send are yours.</t>
          </r>
        </is>
      </c>
      <c r="D17" s="12" t="n"/>
      <c r="E17" s="12" t="n"/>
      <c r="F17" s="13" t="n"/>
      <c r="G17" s="1" t="n"/>
      <c r="H17" s="1" t="n"/>
      <c r="I17" s="1" t="n"/>
      <c r="J17" s="1" t="n"/>
      <c r="K17" s="1" t="n"/>
      <c r="L17" s="1" t="n"/>
      <c r="M17" s="1" t="n"/>
      <c r="N17" s="1" t="n"/>
      <c r="O17" s="1" t="n"/>
      <c r="P17" s="1" t="n"/>
      <c r="Q17" s="1" t="n"/>
      <c r="R17" s="1" t="n"/>
      <c r="S17" s="1" t="n"/>
      <c r="T17" s="1" t="n"/>
      <c r="U17" s="1" t="n"/>
      <c r="V17" s="1" t="n"/>
      <c r="W17" s="1" t="n"/>
      <c r="X17" s="1" t="n"/>
      <c r="Y17" s="1" t="n"/>
      <c r="Z17" s="1" t="n"/>
    </row>
    <row r="18" ht="63.2" customHeight="1">
      <c r="A18" s="1" t="n"/>
      <c r="B18" s="10" t="n"/>
      <c r="C18" s="14" t="inlineStr">
        <is>
          <r>
            <rPr>
              <rFont val="Arial"/>
              <b val="1"/>
              <color rgb="001D2433"/>
              <sz val="10"/>
            </rPr>
            <t xml:space="preserve">Information only. </t>
          </r>
          <r>
            <rPr>
              <rFont val="Arial"/>
              <color rgb="001D2433"/>
              <sz val="10"/>
            </rPr>
            <t>This product shares general information and tools for planning. It is not legal, tax, accounting, financial, employment, medical or other professional advice, and it doesn't create a client relationship of any kind. Your situation may differ. For decisions that matter, check with a qualified professional and the official source.</t>
          </r>
        </is>
      </c>
      <c r="D18" s="12" t="n"/>
      <c r="E18" s="12" t="n"/>
      <c r="F18" s="13" t="n"/>
      <c r="G18" s="1" t="n"/>
      <c r="H18" s="1" t="n"/>
      <c r="I18" s="1" t="n"/>
      <c r="J18" s="1" t="n"/>
      <c r="K18" s="1" t="n"/>
      <c r="L18" s="1" t="n"/>
      <c r="M18" s="1" t="n"/>
      <c r="N18" s="1" t="n"/>
      <c r="O18" s="1" t="n"/>
      <c r="P18" s="1" t="n"/>
      <c r="Q18" s="1" t="n"/>
      <c r="R18" s="1" t="n"/>
      <c r="S18" s="1" t="n"/>
      <c r="T18" s="1" t="n"/>
      <c r="U18" s="1" t="n"/>
      <c r="V18" s="1" t="n"/>
      <c r="W18" s="1" t="n"/>
      <c r="X18" s="1" t="n"/>
      <c r="Y18" s="1" t="n"/>
      <c r="Z18" s="1" t="n"/>
    </row>
    <row r="19" ht="76" customHeight="1">
      <c r="A19" s="1" t="n"/>
      <c r="B19" s="10" t="n"/>
      <c r="C19" s="14" t="inlineStr">
        <is>
          <r>
            <rPr>
              <rFont val="Arial"/>
              <b val="1"/>
              <color rgb="001D2433"/>
              <sz val="10"/>
            </rPr>
            <t xml:space="preserve">Accuracy. </t>
          </r>
          <r>
            <rPr>
              <rFont val="Arial"/>
              <color rgb="001D2433"/>
              <sz val="10"/>
            </rPr>
            <t>The product was checked on October 26, 2026. It uses no outside rates or rules: every price, quantity, discount, tax rate and deposit comes from you. The example business, its customer and the job are made up; the example prices are the quotes the free pressure washing price calculator at proofnotfluff.com gives for its own example business. Whether a service is taxed, and at what rate, depends on where you work. You're responsible for confirming anything you rely on.</t>
          </r>
        </is>
      </c>
      <c r="D19" s="12" t="n"/>
      <c r="E19" s="12" t="n"/>
      <c r="F19" s="13" t="n"/>
      <c r="G19" s="1" t="n"/>
      <c r="H19" s="1" t="n"/>
      <c r="I19" s="1" t="n"/>
      <c r="J19" s="1" t="n"/>
      <c r="K19" s="1" t="n"/>
      <c r="L19" s="1" t="n"/>
      <c r="M19" s="1" t="n"/>
      <c r="N19" s="1" t="n"/>
      <c r="O19" s="1" t="n"/>
      <c r="P19" s="1" t="n"/>
      <c r="Q19" s="1" t="n"/>
      <c r="R19" s="1" t="n"/>
      <c r="S19" s="1" t="n"/>
      <c r="T19" s="1" t="n"/>
      <c r="U19" s="1" t="n"/>
      <c r="V19" s="1" t="n"/>
      <c r="W19" s="1" t="n"/>
      <c r="X19" s="1" t="n"/>
      <c r="Y19" s="1" t="n"/>
      <c r="Z19" s="1" t="n"/>
    </row>
    <row r="20" ht="37.6" customHeight="1">
      <c r="A20" s="1" t="n"/>
      <c r="B20" s="10" t="n"/>
      <c r="C20" s="14" t="inlineStr">
        <is>
          <r>
            <rPr>
              <rFont val="Arial"/>
              <b val="1"/>
              <color rgb="001D2433"/>
              <sz val="10"/>
            </rPr>
            <t xml:space="preserve">Estimates. </t>
          </r>
          <r>
            <rPr>
              <rFont val="Arial"/>
              <color rgb="001D2433"/>
              <sz val="10"/>
            </rPr>
            <t>Calculations depend on the numbers you enter and simplify real-world conditions. They are estimates, not promises of any result, income, savings, approval or outcome.</t>
          </r>
        </is>
      </c>
      <c r="D20" s="12" t="n"/>
      <c r="E20" s="12" t="n"/>
      <c r="F20" s="13" t="n"/>
      <c r="G20" s="1" t="n"/>
      <c r="H20" s="1" t="n"/>
      <c r="I20" s="1" t="n"/>
      <c r="J20" s="1" t="n"/>
      <c r="K20" s="1" t="n"/>
      <c r="L20" s="1" t="n"/>
      <c r="M20" s="1" t="n"/>
      <c r="N20" s="1" t="n"/>
      <c r="O20" s="1" t="n"/>
      <c r="P20" s="1" t="n"/>
      <c r="Q20" s="1" t="n"/>
      <c r="R20" s="1" t="n"/>
      <c r="S20" s="1" t="n"/>
      <c r="T20" s="1" t="n"/>
      <c r="U20" s="1" t="n"/>
      <c r="V20" s="1" t="n"/>
      <c r="W20" s="1" t="n"/>
      <c r="X20" s="1" t="n"/>
      <c r="Y20" s="1" t="n"/>
      <c r="Z20" s="1" t="n"/>
    </row>
    <row r="21" ht="50.4" customHeight="1">
      <c r="A21" s="1" t="n"/>
      <c r="B21" s="10" t="n"/>
      <c r="C21" s="14" t="inlineStr">
        <is>
          <r>
            <rPr>
              <rFont val="Arial"/>
              <b val="1"/>
              <color rgb="001D2433"/>
              <sz val="10"/>
            </rPr>
            <t xml:space="preserve">Sample form. </t>
          </r>
          <r>
            <rPr>
              <rFont val="Arial"/>
              <color rgb="001D2433"/>
              <sz val="10"/>
            </rPr>
            <t>These are sample forms to adapt, not legal documents written for your state or business. Have a local attorney review any agreement before you use it with clients. If you collect client information, you're responsible for keeping it secure and following the privacy laws that apply to you.</t>
          </r>
        </is>
      </c>
      <c r="D21" s="12" t="n"/>
      <c r="E21" s="12" t="n"/>
      <c r="F21" s="13" t="n"/>
      <c r="G21" s="1" t="n"/>
      <c r="H21" s="1" t="n"/>
      <c r="I21" s="1" t="n"/>
      <c r="J21" s="1" t="n"/>
      <c r="K21" s="1" t="n"/>
      <c r="L21" s="1" t="n"/>
      <c r="M21" s="1" t="n"/>
      <c r="N21" s="1" t="n"/>
      <c r="O21" s="1" t="n"/>
      <c r="P21" s="1" t="n"/>
      <c r="Q21" s="1" t="n"/>
      <c r="R21" s="1" t="n"/>
      <c r="S21" s="1" t="n"/>
      <c r="T21" s="1" t="n"/>
      <c r="U21" s="1" t="n"/>
      <c r="V21" s="1" t="n"/>
      <c r="W21" s="1" t="n"/>
      <c r="X21" s="1" t="n"/>
      <c r="Y21" s="1" t="n"/>
      <c r="Z21" s="1" t="n"/>
    </row>
    <row r="22" ht="37.6" customHeight="1">
      <c r="A22" s="1" t="n"/>
      <c r="B22" s="10" t="n"/>
      <c r="C22" s="14" t="inlineStr">
        <is>
          <r>
            <rPr>
              <rFont val="Arial"/>
              <b val="1"/>
              <color rgb="001D2433"/>
              <sz val="10"/>
            </rPr>
            <t xml:space="preserve">No warranty. </t>
          </r>
          <r>
            <rPr>
              <rFont val="Arial"/>
              <color rgb="001D2433"/>
              <sz val="10"/>
            </rPr>
            <t>The product is provided "as is", without warranties of any kind, to the extent the law allows.</t>
          </r>
        </is>
      </c>
      <c r="D22" s="12" t="n"/>
      <c r="E22" s="12" t="n"/>
      <c r="F22" s="13" t="n"/>
      <c r="G22" s="1" t="n"/>
      <c r="H22" s="1" t="n"/>
      <c r="I22" s="1" t="n"/>
      <c r="J22" s="1" t="n"/>
      <c r="K22" s="1" t="n"/>
      <c r="L22" s="1" t="n"/>
      <c r="M22" s="1" t="n"/>
      <c r="N22" s="1" t="n"/>
      <c r="O22" s="1" t="n"/>
      <c r="P22" s="1" t="n"/>
      <c r="Q22" s="1" t="n"/>
      <c r="R22" s="1" t="n"/>
      <c r="S22" s="1" t="n"/>
      <c r="T22" s="1" t="n"/>
      <c r="U22" s="1" t="n"/>
      <c r="V22" s="1" t="n"/>
      <c r="W22" s="1" t="n"/>
      <c r="X22" s="1" t="n"/>
      <c r="Y22" s="1" t="n"/>
      <c r="Z22" s="1" t="n"/>
    </row>
    <row r="23" ht="50.4" customHeight="1">
      <c r="A23" s="1" t="n"/>
      <c r="B23" s="10" t="n"/>
      <c r="C23" s="14" t="inlineStr">
        <is>
          <r>
            <rPr>
              <rFont val="Arial"/>
              <b val="1"/>
              <color rgb="001D2433"/>
              <sz val="10"/>
            </rPr>
            <t xml:space="preserve">Limit of liability. </t>
          </r>
          <r>
            <rPr>
              <rFont val="Arial"/>
              <color rgb="001D2433"/>
              <sz val="10"/>
            </rPr>
            <t>To the extent the law allows, ProofNotFluff is not liable for any loss or damage from using or relying on this product. Nothing here limits rights you have under consumer protection laws that can't be waived.</t>
          </r>
        </is>
      </c>
      <c r="D23" s="12" t="n"/>
      <c r="E23" s="12" t="n"/>
      <c r="F23" s="13" t="n"/>
      <c r="G23" s="1" t="n"/>
      <c r="H23" s="1" t="n"/>
      <c r="I23" s="1" t="n"/>
      <c r="J23" s="1" t="n"/>
      <c r="K23" s="1" t="n"/>
      <c r="L23" s="1" t="n"/>
      <c r="M23" s="1" t="n"/>
      <c r="N23" s="1" t="n"/>
      <c r="O23" s="1" t="n"/>
      <c r="P23" s="1" t="n"/>
      <c r="Q23" s="1" t="n"/>
      <c r="R23" s="1" t="n"/>
      <c r="S23" s="1" t="n"/>
      <c r="T23" s="1" t="n"/>
      <c r="U23" s="1" t="n"/>
      <c r="V23" s="1" t="n"/>
      <c r="W23" s="1" t="n"/>
      <c r="X23" s="1" t="n"/>
      <c r="Y23" s="1" t="n"/>
      <c r="Z23" s="1" t="n"/>
    </row>
    <row r="24" ht="37.6" customHeight="1">
      <c r="A24" s="1" t="n"/>
      <c r="B24" s="10" t="n"/>
      <c r="C24" s="14" t="inlineStr">
        <is>
          <r>
            <rPr>
              <rFont val="Arial"/>
              <b val="1"/>
              <color rgb="001D2433"/>
              <sz val="10"/>
            </rPr>
            <t xml:space="preserve">Trademarks. </t>
          </r>
          <r>
            <rPr>
              <rFont val="Arial"/>
              <color rgb="001D2433"/>
              <sz val="10"/>
            </rPr>
            <t>Microsoft Excel, Google Sheets and LibreOffice are trademarks of their owners. ProofNotFluff isn't affiliated with, sponsored or endorsed by them.</t>
          </r>
        </is>
      </c>
      <c r="D24" s="12" t="n"/>
      <c r="E24" s="12" t="n"/>
      <c r="F24" s="13" t="n"/>
      <c r="G24" s="1" t="n"/>
      <c r="H24" s="1" t="n"/>
      <c r="I24" s="1" t="n"/>
      <c r="J24" s="1" t="n"/>
      <c r="K24" s="1" t="n"/>
      <c r="L24" s="1" t="n"/>
      <c r="M24" s="1" t="n"/>
      <c r="N24" s="1" t="n"/>
      <c r="O24" s="1" t="n"/>
      <c r="P24" s="1" t="n"/>
      <c r="Q24" s="1" t="n"/>
      <c r="R24" s="1" t="n"/>
      <c r="S24" s="1" t="n"/>
      <c r="T24" s="1" t="n"/>
      <c r="U24" s="1" t="n"/>
      <c r="V24" s="1" t="n"/>
      <c r="W24" s="1" t="n"/>
      <c r="X24" s="1" t="n"/>
      <c r="Y24" s="1" t="n"/>
      <c r="Z24" s="1" t="n"/>
    </row>
    <row r="25" ht="24.8" customHeight="1">
      <c r="A25" s="1" t="n"/>
      <c r="B25" s="10" t="n"/>
      <c r="C25" s="14" t="inlineStr">
        <is>
          <r>
            <rPr>
              <rFont val="Arial"/>
              <b val="1"/>
              <color rgb="001D2433"/>
              <sz val="10"/>
            </rPr>
            <t xml:space="preserve">AI assistance. </t>
          </r>
          <r>
            <rPr>
              <rFont val="Arial"/>
              <color rgb="001D2433"/>
              <sz val="10"/>
            </rPr>
            <t>This product was made with AI assistance and reviewed and tested by the shop owner.</t>
          </r>
        </is>
      </c>
      <c r="D25" s="12" t="n"/>
      <c r="E25" s="12" t="n"/>
      <c r="F25" s="13" t="n"/>
      <c r="G25" s="1" t="n"/>
      <c r="H25" s="1" t="n"/>
      <c r="I25" s="1" t="n"/>
      <c r="J25" s="1" t="n"/>
      <c r="K25" s="1" t="n"/>
      <c r="L25" s="1" t="n"/>
      <c r="M25" s="1" t="n"/>
      <c r="N25" s="1" t="n"/>
      <c r="O25" s="1" t="n"/>
      <c r="P25" s="1" t="n"/>
      <c r="Q25" s="1" t="n"/>
      <c r="R25" s="1" t="n"/>
      <c r="S25" s="1" t="n"/>
      <c r="T25" s="1" t="n"/>
      <c r="U25" s="1" t="n"/>
      <c r="V25" s="1" t="n"/>
      <c r="W25" s="1" t="n"/>
      <c r="X25" s="1" t="n"/>
      <c r="Y25" s="1" t="n"/>
      <c r="Z25" s="1" t="n"/>
    </row>
    <row r="26" ht="24.8" customHeight="1">
      <c r="A26" s="1" t="n"/>
      <c r="B26" s="10" t="n"/>
      <c r="C26" s="14" t="inlineStr">
        <is>
          <r>
            <rPr>
              <rFont val="Arial"/>
              <b val="1"/>
              <color rgb="001D2433"/>
              <sz val="10"/>
            </rPr>
            <t xml:space="preserve">Help. </t>
          </r>
          <r>
            <rPr>
              <rFont val="Arial"/>
              <color rgb="001D2433"/>
              <sz val="10"/>
            </rPr>
            <t>Reply to any ProofNotFluff email if something looks wrong and it will be fixed.</t>
          </r>
        </is>
      </c>
      <c r="D26" s="12" t="n"/>
      <c r="E26" s="12" t="n"/>
      <c r="F26" s="13"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 customHeight="1">
      <c r="A27" s="1" t="n"/>
      <c r="B27" s="15" t="n"/>
      <c r="C27" s="16" t="n"/>
      <c r="D27" s="16" t="n"/>
      <c r="E27" s="16" t="n"/>
      <c r="F27" s="17" t="n"/>
      <c r="G27" s="1" t="n"/>
      <c r="H27" s="1" t="n"/>
      <c r="I27" s="1" t="n"/>
      <c r="J27" s="1" t="n"/>
      <c r="K27" s="1" t="n"/>
      <c r="L27" s="1" t="n"/>
      <c r="M27" s="1" t="n"/>
      <c r="N27" s="1" t="n"/>
      <c r="O27" s="1" t="n"/>
      <c r="P27" s="1" t="n"/>
      <c r="Q27" s="1" t="n"/>
      <c r="R27" s="1" t="n"/>
      <c r="S27" s="1" t="n"/>
      <c r="T27" s="1" t="n"/>
      <c r="U27" s="1" t="n"/>
      <c r="V27" s="1" t="n"/>
      <c r="W27" s="1" t="n"/>
      <c r="X27" s="1" t="n"/>
      <c r="Y27" s="1" t="n"/>
      <c r="Z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sheetData>
  <sheetProtection selectLockedCells="0" selectUnlockedCells="0" sheet="1" objects="1" insertRows="1" insertHyperlinks="1" autoFilter="1" scenarios="1" formatColumns="0" deleteColumns="1" insertColumns="1" pivotTables="1" deleteRows="1" formatCells="0" formatRows="0" sort="1"/>
  <mergeCells count="21">
    <mergeCell ref="C16:E16"/>
    <mergeCell ref="C22:E22"/>
    <mergeCell ref="C9:E9"/>
    <mergeCell ref="C25:E25"/>
    <mergeCell ref="C21:E21"/>
    <mergeCell ref="E4:F4"/>
    <mergeCell ref="C11:E11"/>
    <mergeCell ref="C23:E23"/>
    <mergeCell ref="C8:E8"/>
    <mergeCell ref="C17:E17"/>
    <mergeCell ref="C7:E7"/>
    <mergeCell ref="C19:E19"/>
    <mergeCell ref="E2:F2"/>
    <mergeCell ref="B4:D4"/>
    <mergeCell ref="C18:E18"/>
    <mergeCell ref="C15:E15"/>
    <mergeCell ref="C24:E24"/>
    <mergeCell ref="C26:E26"/>
    <mergeCell ref="C20:E20"/>
    <mergeCell ref="B2:D2"/>
    <mergeCell ref="C10:E10"/>
  </mergeCells>
  <hyperlinks>
    <hyperlink xmlns:r="http://schemas.openxmlformats.org/officeDocument/2006/relationships" ref="C8" r:id="rId1"/>
    <hyperlink xmlns:r="http://schemas.openxmlformats.org/officeDocument/2006/relationships" ref="C9" r:id="rId2"/>
    <hyperlink xmlns:r="http://schemas.openxmlformats.org/officeDocument/2006/relationships" ref="C10" r:id="rId3"/>
    <hyperlink xmlns:r="http://schemas.openxmlformats.org/officeDocument/2006/relationships" ref="C11" r:id="rId4"/>
  </hyperlinks>
  <printOptions horizontalCentered="1"/>
  <pageMargins left="0.5" right="0.5" top="0.7" bottom="0.7" header="0.3" footer="0.3"/>
  <pageSetup orientation="portrait" paperSize="1" fitToHeight="0" fitToWidth="1"/>
  <headerFooter>
    <oddHeader>&amp;L&amp;"Arial"&amp;8 ProofNotFluff&amp;R&amp;"Arial"&amp;8 Job Estimate Template</oddHeader>
    <oddFooter>&amp;L&amp;"Arial"&amp;8 Estimates only. Not professional advice. See the Terms tab.&amp;R&amp;"Arial"&amp;8 Page &amp;P of &amp;N</oddFooter>
    <evenHeader/>
    <evenFooter/>
    <firstHeader/>
    <firstFooter/>
  </headerFooter>
</worksheet>
</file>

<file path=docProps/app.xml><?xml version="1.0" encoding="utf-8"?>
<Properties xmlns="http://schemas.openxmlformats.org/officeDocument/2006/extended-properties">
  <Application>ProofNotFluff</Application>
  <AppVersion>3.1</AppVersion>
  <Company>ProofNotFluff LLC</Company>
</Properties>
</file>

<file path=docProps/core.xml><?xml version="1.0" encoding="utf-8"?>
<cp:coreProperties xmlns:cp="http://schemas.openxmlformats.org/package/2006/metadata/core-properties">
  <dc:creator xmlns:dc="http://purl.org/dc/elements/1.1/">ProofNotFluff</dc:creator>
  <dc:title xmlns:dc="http://purl.org/dc/elements/1.1/">Job Estimate Template</dc:title>
  <dc:description xmlns:dc="http://purl.org/dc/elements/1.1/">Copyright ProofNotFluff LLC. Free template for one business. Information only, not professional advice.</dc:description>
  <dc:subject xmlns:dc="http://purl.org/dc/elements/1.1/">Job Estimate Template, version 1</dc:subject>
  <dcterms:created xmlns:dcterms="http://purl.org/dc/terms/" xmlns:xsi="http://www.w3.org/2001/XMLSchema-instance" xsi:type="dcterms:W3CDTF">2026-10-27T03:05:42Z</dcterms:created>
  <dcterms:modified xmlns:dcterms="http://purl.org/dc/terms/" xmlns:xsi="http://www.w3.org/2001/XMLSchema-instance" xsi:type="dcterms:W3CDTF">2026-10-27T03:05:42Z</dcterms:modified>
  <cp:lastModifiedBy>ProofNotFluff</cp:lastModifiedBy>
  <cp:category/>
  <cp:keywords>ProofNotFluff</cp:keywords>
</cp:coreProperties>
</file>